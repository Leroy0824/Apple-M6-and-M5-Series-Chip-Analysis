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g/Downloads/Documents/"/>
    </mc:Choice>
  </mc:AlternateContent>
  <xr:revisionPtr revIDLastSave="0" documentId="13_ncr:1_{C5331A0C-6975-484C-B3F7-B6E9323D8860}" xr6:coauthVersionLast="47" xr6:coauthVersionMax="47" xr10:uidLastSave="{00000000-0000-0000-0000-000000000000}"/>
  <bookViews>
    <workbookView xWindow="13400" yWindow="660" windowWidth="16840" windowHeight="18980" activeTab="3" xr2:uid="{C826184F-E88E-BC4D-8E9D-EA2165B946AC}"/>
  </bookViews>
  <sheets>
    <sheet name="RAM+SSD" sheetId="1" r:id="rId1"/>
    <sheet name="RAM" sheetId="2" r:id="rId2"/>
    <sheet name="SSD" sheetId="3" r:id="rId3"/>
    <sheet name="CORES" sheetId="5" r:id="rId4"/>
  </sheets>
  <definedNames>
    <definedName name="_xlnm._FilterDatabase" localSheetId="0" hidden="1">'RAM+SSD'!$G$1:$G$64</definedName>
    <definedName name="_xlnm._FilterDatabase" localSheetId="2" hidden="1">SSD!$G$1:$G$40</definedName>
    <definedName name="_xlchart.v1.0" hidden="1">CORES!$A$1:$H$59</definedName>
    <definedName name="_xlchart.v1.1" hidden="1">CORES!$A$60</definedName>
    <definedName name="_xlchart.v1.2" hidden="1">CORES!$A$61</definedName>
    <definedName name="_xlchart.v1.3" hidden="1">CORES!$B$58:$H$59</definedName>
    <definedName name="_xlchart.v1.4" hidden="1">CORES!$B$60:$H$60</definedName>
    <definedName name="_xlchart.v1.5" hidden="1">CORES!$B$61:$H$61</definedName>
    <definedName name="_xlchart.v2.10" hidden="1">CORES!$B$59:$H$59</definedName>
    <definedName name="_xlchart.v2.11" hidden="1">CORES!$B$60:$H$60</definedName>
    <definedName name="_xlchart.v2.12" hidden="1">CORES!$B$61:$H$61</definedName>
    <definedName name="_xlchart.v2.6" hidden="1">CORES!$A$59</definedName>
    <definedName name="_xlchart.v2.7" hidden="1">CORES!$A$60</definedName>
    <definedName name="_xlchart.v2.8" hidden="1">CORES!$A$61</definedName>
    <definedName name="_xlchart.v2.9" hidden="1">CORES!$B$58:$H$58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2" i="5" l="1"/>
  <c r="K52" i="5"/>
  <c r="L52" i="5"/>
  <c r="M52" i="5"/>
  <c r="N52" i="5"/>
  <c r="J53" i="5"/>
  <c r="K53" i="5"/>
  <c r="L53" i="5"/>
  <c r="M53" i="5"/>
  <c r="N53" i="5"/>
  <c r="J54" i="5"/>
  <c r="K54" i="5"/>
  <c r="L54" i="5"/>
  <c r="M54" i="5"/>
  <c r="N54" i="5"/>
  <c r="J55" i="5"/>
  <c r="K55" i="5"/>
  <c r="L55" i="5"/>
  <c r="M55" i="5"/>
  <c r="N55" i="5"/>
  <c r="J56" i="5"/>
  <c r="K56" i="5"/>
  <c r="L56" i="5"/>
  <c r="M56" i="5"/>
  <c r="N56" i="5"/>
  <c r="N51" i="5"/>
  <c r="M51" i="5"/>
  <c r="L51" i="5"/>
  <c r="K51" i="5"/>
  <c r="J51" i="5"/>
  <c r="I51" i="5"/>
  <c r="I52" i="5"/>
  <c r="I53" i="5"/>
  <c r="I54" i="5"/>
  <c r="I55" i="5"/>
  <c r="I56" i="5"/>
  <c r="H51" i="5"/>
  <c r="H52" i="5"/>
  <c r="H53" i="5"/>
  <c r="H54" i="5"/>
  <c r="H55" i="5"/>
  <c r="H56" i="5"/>
  <c r="G56" i="5"/>
  <c r="G55" i="5"/>
  <c r="G54" i="5"/>
  <c r="G53" i="5"/>
  <c r="G52" i="5"/>
  <c r="G51" i="5"/>
  <c r="G50" i="5"/>
  <c r="P43" i="5"/>
  <c r="Q43" i="5"/>
  <c r="P44" i="5"/>
  <c r="Q44" i="5"/>
  <c r="P45" i="5"/>
  <c r="Q45" i="5"/>
  <c r="P46" i="5"/>
  <c r="Q46" i="5"/>
  <c r="P47" i="5"/>
  <c r="Q47" i="5"/>
  <c r="Q42" i="5"/>
  <c r="P42" i="5"/>
  <c r="N42" i="5"/>
  <c r="O43" i="5"/>
  <c r="O44" i="5"/>
  <c r="O45" i="5"/>
  <c r="O46" i="5"/>
  <c r="O47" i="5"/>
  <c r="O42" i="5"/>
  <c r="N43" i="5"/>
  <c r="N44" i="5"/>
  <c r="N45" i="5"/>
  <c r="N46" i="5"/>
  <c r="N47" i="5"/>
  <c r="M43" i="5"/>
  <c r="M44" i="5"/>
  <c r="M45" i="5"/>
  <c r="M46" i="5"/>
  <c r="M47" i="5"/>
  <c r="M42" i="5"/>
  <c r="L42" i="5"/>
  <c r="L43" i="5"/>
  <c r="L44" i="5"/>
  <c r="L45" i="5"/>
  <c r="L46" i="5"/>
  <c r="L47" i="5"/>
  <c r="K42" i="5"/>
  <c r="K43" i="5"/>
  <c r="K44" i="5"/>
  <c r="K45" i="5"/>
  <c r="K46" i="5"/>
  <c r="K47" i="5"/>
  <c r="G47" i="5"/>
  <c r="G46" i="5"/>
  <c r="G45" i="5"/>
  <c r="G44" i="5"/>
  <c r="G43" i="5"/>
  <c r="G42" i="5"/>
  <c r="G41" i="5"/>
  <c r="G13" i="5"/>
  <c r="G14" i="5"/>
  <c r="G15" i="5"/>
  <c r="G16" i="5"/>
  <c r="G17" i="5"/>
  <c r="G18" i="5"/>
  <c r="G12" i="5"/>
  <c r="D18" i="5"/>
  <c r="F47" i="3"/>
  <c r="D47" i="3"/>
  <c r="G47" i="3" s="1"/>
  <c r="F46" i="3"/>
  <c r="D46" i="3"/>
  <c r="F45" i="3"/>
  <c r="D45" i="3"/>
  <c r="F44" i="3"/>
  <c r="D44" i="3"/>
  <c r="D27" i="2"/>
  <c r="G27" i="2" s="1"/>
  <c r="F75" i="1"/>
  <c r="D75" i="1"/>
  <c r="F74" i="1"/>
  <c r="D74" i="1"/>
  <c r="F73" i="1"/>
  <c r="D73" i="1"/>
  <c r="F72" i="1"/>
  <c r="D72" i="1"/>
  <c r="G72" i="1" s="1"/>
  <c r="D68" i="1"/>
  <c r="G68" i="1" s="1"/>
  <c r="D17" i="5"/>
  <c r="D16" i="5"/>
  <c r="D15" i="5"/>
  <c r="D14" i="5"/>
  <c r="D13" i="5"/>
  <c r="D19" i="3"/>
  <c r="D18" i="3"/>
  <c r="D17" i="3"/>
  <c r="D16" i="3"/>
  <c r="F40" i="3"/>
  <c r="D40" i="3"/>
  <c r="F39" i="3"/>
  <c r="D39" i="3"/>
  <c r="F38" i="3"/>
  <c r="D38" i="3"/>
  <c r="F37" i="3"/>
  <c r="D37" i="3"/>
  <c r="G37" i="3" s="1"/>
  <c r="F33" i="3"/>
  <c r="D33" i="3"/>
  <c r="F32" i="3"/>
  <c r="D32" i="3"/>
  <c r="F31" i="3"/>
  <c r="D31" i="3"/>
  <c r="D30" i="3"/>
  <c r="G30" i="3" s="1"/>
  <c r="F12" i="3"/>
  <c r="D12" i="3"/>
  <c r="F11" i="3"/>
  <c r="D11" i="3"/>
  <c r="F10" i="3"/>
  <c r="D10" i="3"/>
  <c r="D9" i="3"/>
  <c r="G9" i="3" s="1"/>
  <c r="D5" i="3"/>
  <c r="D4" i="3"/>
  <c r="G4" i="3" s="1"/>
  <c r="G3" i="3"/>
  <c r="D23" i="2"/>
  <c r="G23" i="2" s="1"/>
  <c r="D19" i="2"/>
  <c r="D18" i="2"/>
  <c r="G18" i="2" s="1"/>
  <c r="D14" i="2"/>
  <c r="D13" i="2"/>
  <c r="G13" i="2" s="1"/>
  <c r="D9" i="2"/>
  <c r="D8" i="2"/>
  <c r="G8" i="2" s="1"/>
  <c r="G4" i="2"/>
  <c r="G3" i="2"/>
  <c r="G8" i="1"/>
  <c r="G4" i="1"/>
  <c r="G3" i="1"/>
  <c r="F64" i="1"/>
  <c r="F63" i="1"/>
  <c r="F62" i="1"/>
  <c r="F61" i="1"/>
  <c r="D64" i="1"/>
  <c r="D63" i="1"/>
  <c r="D62" i="1"/>
  <c r="D61" i="1"/>
  <c r="D57" i="1"/>
  <c r="G57" i="1" s="1"/>
  <c r="D46" i="1"/>
  <c r="D45" i="1"/>
  <c r="G45" i="1" s="1"/>
  <c r="F53" i="1"/>
  <c r="D53" i="1"/>
  <c r="F52" i="1"/>
  <c r="D52" i="1"/>
  <c r="F51" i="1"/>
  <c r="D51" i="1"/>
  <c r="D50" i="1"/>
  <c r="G50" i="1" s="1"/>
  <c r="F41" i="1"/>
  <c r="F40" i="1"/>
  <c r="F39" i="1"/>
  <c r="D41" i="1"/>
  <c r="D40" i="1"/>
  <c r="D39" i="1"/>
  <c r="D38" i="1"/>
  <c r="F22" i="1"/>
  <c r="F34" i="1"/>
  <c r="D34" i="1"/>
  <c r="F33" i="1"/>
  <c r="D33" i="1"/>
  <c r="F32" i="1"/>
  <c r="D32" i="1"/>
  <c r="D31" i="1"/>
  <c r="G31" i="1" s="1"/>
  <c r="D27" i="1"/>
  <c r="D26" i="1"/>
  <c r="G26" i="1" s="1"/>
  <c r="F21" i="1"/>
  <c r="F20" i="1"/>
  <c r="D22" i="1"/>
  <c r="D21" i="1"/>
  <c r="D20" i="1"/>
  <c r="D19" i="1"/>
  <c r="G19" i="1" s="1"/>
  <c r="D15" i="1"/>
  <c r="D14" i="1"/>
  <c r="G14" i="1" s="1"/>
  <c r="D10" i="1"/>
  <c r="G10" i="1" s="1"/>
  <c r="D9" i="1"/>
  <c r="G9" i="1" s="1"/>
  <c r="I15" i="5" l="1"/>
  <c r="I16" i="5"/>
  <c r="G46" i="3"/>
  <c r="G39" i="1"/>
  <c r="G46" i="1"/>
  <c r="I17" i="5"/>
  <c r="G61" i="1"/>
  <c r="G9" i="2"/>
  <c r="G73" i="1"/>
  <c r="H18" i="5"/>
  <c r="G5" i="3"/>
  <c r="G45" i="3"/>
  <c r="G75" i="1"/>
  <c r="G14" i="2"/>
  <c r="G19" i="2"/>
  <c r="I13" i="5"/>
  <c r="I14" i="5"/>
  <c r="G44" i="3"/>
  <c r="H16" i="5"/>
  <c r="I18" i="5"/>
  <c r="H14" i="5"/>
  <c r="H15" i="5"/>
  <c r="H13" i="5"/>
  <c r="H17" i="5"/>
  <c r="G74" i="1"/>
  <c r="G40" i="3"/>
  <c r="G33" i="3"/>
  <c r="G11" i="3"/>
  <c r="G31" i="3"/>
  <c r="G32" i="3"/>
  <c r="G10" i="3"/>
  <c r="G39" i="3"/>
  <c r="G12" i="3"/>
  <c r="G38" i="3"/>
  <c r="G41" i="1"/>
  <c r="G40" i="1"/>
  <c r="G27" i="1"/>
  <c r="G62" i="1"/>
  <c r="G52" i="1"/>
  <c r="G64" i="1"/>
  <c r="G51" i="1"/>
  <c r="G34" i="1"/>
  <c r="G33" i="1"/>
  <c r="G53" i="1"/>
  <c r="G20" i="1"/>
  <c r="G38" i="1"/>
  <c r="G22" i="1"/>
  <c r="G32" i="1"/>
  <c r="G21" i="1"/>
  <c r="G63" i="1"/>
  <c r="G15" i="1"/>
</calcChain>
</file>

<file path=xl/sharedStrings.xml><?xml version="1.0" encoding="utf-8"?>
<sst xmlns="http://schemas.openxmlformats.org/spreadsheetml/2006/main" count="388" uniqueCount="36">
  <si>
    <t>Chips</t>
  </si>
  <si>
    <t>M6</t>
  </si>
  <si>
    <t>Ram (GB)</t>
  </si>
  <si>
    <t>Rom (GB)</t>
  </si>
  <si>
    <t>Price (£)</t>
  </si>
  <si>
    <t>M5 Pro</t>
  </si>
  <si>
    <t>CPU cores</t>
  </si>
  <si>
    <t>GPU cores</t>
  </si>
  <si>
    <t>M5 Max</t>
  </si>
  <si>
    <t>M5 Ultra</t>
  </si>
  <si>
    <t>Under observations 1&amp;2</t>
  </si>
  <si>
    <t>Total cores</t>
  </si>
  <si>
    <t>Upgrade cost per 8GB RAM</t>
  </si>
  <si>
    <t>Upgrade cost per 256GB SSD</t>
  </si>
  <si>
    <t>Upgrade cost per core</t>
  </si>
  <si>
    <t>Cumulative upgrade cost per core</t>
  </si>
  <si>
    <t>Geekbench 6 (Single-Core)</t>
  </si>
  <si>
    <t>Geekbench 6 (Multi-Core)</t>
  </si>
  <si>
    <t>iGPU-FP32 (TFLOPS)</t>
  </si>
  <si>
    <t>Standard Score</t>
  </si>
  <si>
    <t>Score (Type 1)</t>
  </si>
  <si>
    <t>Score (Type 2)</t>
  </si>
  <si>
    <t>Score (Type 3)</t>
  </si>
  <si>
    <t>Score (Type 4)</t>
  </si>
  <si>
    <t>Score (Type 5)</t>
  </si>
  <si>
    <t>Score (Type 6)</t>
  </si>
  <si>
    <t>CP Score</t>
  </si>
  <si>
    <t>CP Score (Type 1)</t>
  </si>
  <si>
    <t>CP Score (Type 2)</t>
  </si>
  <si>
    <t>CP Score (Type 3)</t>
  </si>
  <si>
    <t>CP Score (Type 4)</t>
  </si>
  <si>
    <t>CP Score (Type 5)</t>
  </si>
  <si>
    <t>CP Score (Type 6)</t>
  </si>
  <si>
    <t>M5 Pro Base</t>
  </si>
  <si>
    <t>M5 Max Base</t>
  </si>
  <si>
    <t>M5 Ultra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</si>
</sst>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/>
              <a:t>Cumulative Cost per Core vs. # of Upgrades from M6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CORES!$I$13:$I$18</c:f>
              <c:numCache>
                <c:formatCode>General</c:formatCode>
                <c:ptCount val="6"/>
                <c:pt idx="0">
                  <c:v>57.142857142857146</c:v>
                </c:pt>
                <c:pt idx="1">
                  <c:v>42.857142857142854</c:v>
                </c:pt>
                <c:pt idx="2">
                  <c:v>34.615384615384613</c:v>
                </c:pt>
                <c:pt idx="3">
                  <c:v>35.294117647058826</c:v>
                </c:pt>
                <c:pt idx="4">
                  <c:v>32.142857142857146</c:v>
                </c:pt>
                <c:pt idx="5">
                  <c:v>38.586956521739133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78-E44C-93FE-1A2C85714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1719424"/>
        <c:axId val="1521720320"/>
      </c:scatterChart>
      <c:valAx>
        <c:axId val="152171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# of upgrade from M6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720320"/>
        <c:crosses val="autoZero"/>
        <c:crossBetween val="midCat"/>
      </c:valAx>
      <c:valAx>
        <c:axId val="152172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Cumulative</a:t>
                </a:r>
                <a:r>
                  <a:rPr lang="en-GB" baseline="0"/>
                  <a:t> upgrade cost per core (£)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719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CP Score</a:t>
            </a:r>
            <a:r>
              <a:rPr lang="en-GB" baseline="0"/>
              <a:t> v.s. Chips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CORES!$B$58</c:f>
              <c:strCache>
                <c:ptCount val="1"/>
                <c:pt idx="0">
                  <c:v>CP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CORES!$A$59:$A$65</c:f>
              <c:strCache>
                <c:ptCount val="7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  <c:pt idx="3">
                  <c:v>M5 Max Base</c:v>
                </c:pt>
                <c:pt idx="4">
                  <c:v>M5 Max</c:v>
                </c:pt>
                <c:pt idx="5">
                  <c:v>M5 Ultra Base</c:v>
                </c:pt>
                <c:pt idx="6">
                  <c:v>M5 Ultra</c:v>
                </c:pt>
              </c:strCache>
            </c:strRef>
          </c:cat>
          <c:val>
            <c:numRef>
              <c:f>CORES!$B$59:$B$65</c:f>
              <c:numCache>
                <c:formatCode>General</c:formatCode>
                <c:ptCount val="7"/>
                <c:pt idx="0">
                  <c:v>1</c:v>
                </c:pt>
                <c:pt idx="1">
                  <c:v>0.80603549852928336</c:v>
                </c:pt>
                <c:pt idx="2">
                  <c:v>0.79132677142920882</c:v>
                </c:pt>
                <c:pt idx="3">
                  <c:v>0.82956384847597586</c:v>
                </c:pt>
                <c:pt idx="4">
                  <c:v>0.81615662601160321</c:v>
                </c:pt>
                <c:pt idx="5">
                  <c:v>0.78127206051903908</c:v>
                </c:pt>
                <c:pt idx="6">
                  <c:v>0.65302606403659591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0-384D-8BA4-E145A6C3D05B}"/>
            </c:ext>
          </c:extLst>
        </c:ser>
        <c:ser>
          <c:idx val="1"/>
          <c:order val="1"/>
          <c:tx>
            <c:strRef>
              <c:f>CORES!$C$58</c:f>
              <c:strCache>
                <c:ptCount val="1"/>
                <c:pt idx="0">
                  <c:v>CP Score (Type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CORES!$A$59:$A$65</c:f>
              <c:strCache>
                <c:ptCount val="7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  <c:pt idx="3">
                  <c:v>M5 Max Base</c:v>
                </c:pt>
                <c:pt idx="4">
                  <c:v>M5 Max</c:v>
                </c:pt>
                <c:pt idx="5">
                  <c:v>M5 Ultra Base</c:v>
                </c:pt>
                <c:pt idx="6">
                  <c:v>M5 Ultra</c:v>
                </c:pt>
              </c:strCache>
            </c:strRef>
          </c:cat>
          <c:val>
            <c:numRef>
              <c:f>CORES!$C$59:$C$65</c:f>
              <c:numCache>
                <c:formatCode>General</c:formatCode>
                <c:ptCount val="7"/>
                <c:pt idx="0">
                  <c:v>1</c:v>
                </c:pt>
                <c:pt idx="1">
                  <c:v>0.83521689846714475</c:v>
                </c:pt>
                <c:pt idx="2">
                  <c:v>0.84308282247614252</c:v>
                </c:pt>
                <c:pt idx="3">
                  <c:v>0.95507006707540865</c:v>
                </c:pt>
                <c:pt idx="4">
                  <c:v>0.96881845161722224</c:v>
                </c:pt>
                <c:pt idx="5">
                  <c:v>0.96631735317743417</c:v>
                </c:pt>
                <c:pt idx="6">
                  <c:v>0.82634646933371037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30-384D-8BA4-E145A6C3D05B}"/>
            </c:ext>
          </c:extLst>
        </c:ser>
        <c:ser>
          <c:idx val="2"/>
          <c:order val="2"/>
          <c:tx>
            <c:strRef>
              <c:f>CORES!$D$58</c:f>
              <c:strCache>
                <c:ptCount val="1"/>
                <c:pt idx="0">
                  <c:v>CP Score (Type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CORES!$A$59:$A$65</c:f>
              <c:strCache>
                <c:ptCount val="7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  <c:pt idx="3">
                  <c:v>M5 Max Base</c:v>
                </c:pt>
                <c:pt idx="4">
                  <c:v>M5 Max</c:v>
                </c:pt>
                <c:pt idx="5">
                  <c:v>M5 Ultra Base</c:v>
                </c:pt>
                <c:pt idx="6">
                  <c:v>M5 Ultra</c:v>
                </c:pt>
              </c:strCache>
            </c:strRef>
          </c:cat>
          <c:val>
            <c:numRef>
              <c:f>CORES!$D$59:$D$65</c:f>
              <c:numCache>
                <c:formatCode>General</c:formatCode>
                <c:ptCount val="7"/>
                <c:pt idx="0">
                  <c:v>1</c:v>
                </c:pt>
                <c:pt idx="1">
                  <c:v>0.84336769504894582</c:v>
                </c:pt>
                <c:pt idx="2">
                  <c:v>0.86280998208821291</c:v>
                </c:pt>
                <c:pt idx="3">
                  <c:v>1.0200705259465837</c:v>
                </c:pt>
                <c:pt idx="4">
                  <c:v>1.0507728843115816</c:v>
                </c:pt>
                <c:pt idx="5">
                  <c:v>1.0659612222942392</c:v>
                </c:pt>
                <c:pt idx="6">
                  <c:v>0.9208452597469533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30-384D-8BA4-E145A6C3D05B}"/>
            </c:ext>
          </c:extLst>
        </c:ser>
        <c:ser>
          <c:idx val="3"/>
          <c:order val="3"/>
          <c:tx>
            <c:strRef>
              <c:f>CORES!$E$58</c:f>
              <c:strCache>
                <c:ptCount val="1"/>
                <c:pt idx="0">
                  <c:v>CP Score (Type 3)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CORES!$A$59:$A$65</c:f>
              <c:strCache>
                <c:ptCount val="7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  <c:pt idx="3">
                  <c:v>M5 Max Base</c:v>
                </c:pt>
                <c:pt idx="4">
                  <c:v>M5 Max</c:v>
                </c:pt>
                <c:pt idx="5">
                  <c:v>M5 Ultra Base</c:v>
                </c:pt>
                <c:pt idx="6">
                  <c:v>M5 Ultra</c:v>
                </c:pt>
              </c:strCache>
            </c:strRef>
          </c:cat>
          <c:val>
            <c:numRef>
              <c:f>CORES!$E$59:$E$65</c:f>
              <c:numCache>
                <c:formatCode>General</c:formatCode>
                <c:ptCount val="7"/>
                <c:pt idx="0">
                  <c:v>1</c:v>
                </c:pt>
                <c:pt idx="1">
                  <c:v>0.80019921854171105</c:v>
                </c:pt>
                <c:pt idx="2">
                  <c:v>0.78097556121982203</c:v>
                </c:pt>
                <c:pt idx="3">
                  <c:v>0.80446260475608922</c:v>
                </c:pt>
                <c:pt idx="4">
                  <c:v>0.78562426089047921</c:v>
                </c:pt>
                <c:pt idx="5">
                  <c:v>0.74426300198736017</c:v>
                </c:pt>
                <c:pt idx="6">
                  <c:v>0.61836198297717293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30-384D-8BA4-E145A6C3D05B}"/>
            </c:ext>
          </c:extLst>
        </c:ser>
        <c:ser>
          <c:idx val="4"/>
          <c:order val="4"/>
          <c:tx>
            <c:strRef>
              <c:f>CORES!$F$58</c:f>
              <c:strCache>
                <c:ptCount val="1"/>
                <c:pt idx="0">
                  <c:v>CP Score (Type 4)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CORES!$A$59:$A$65</c:f>
              <c:strCache>
                <c:ptCount val="7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  <c:pt idx="3">
                  <c:v>M5 Max Base</c:v>
                </c:pt>
                <c:pt idx="4">
                  <c:v>M5 Max</c:v>
                </c:pt>
                <c:pt idx="5">
                  <c:v>M5 Ultra Base</c:v>
                </c:pt>
                <c:pt idx="6">
                  <c:v>M5 Ultra</c:v>
                </c:pt>
              </c:strCache>
            </c:strRef>
          </c:cat>
          <c:val>
            <c:numRef>
              <c:f>CORES!$F$59:$F$65</c:f>
              <c:numCache>
                <c:formatCode>General</c:formatCode>
                <c:ptCount val="7"/>
                <c:pt idx="0">
                  <c:v>1</c:v>
                </c:pt>
                <c:pt idx="1">
                  <c:v>0.81770805850442796</c:v>
                </c:pt>
                <c:pt idx="2">
                  <c:v>0.81202919184798239</c:v>
                </c:pt>
                <c:pt idx="3">
                  <c:v>0.87976633591574893</c:v>
                </c:pt>
                <c:pt idx="4">
                  <c:v>0.87722135625385078</c:v>
                </c:pt>
                <c:pt idx="5">
                  <c:v>0.85529017758239712</c:v>
                </c:pt>
                <c:pt idx="6">
                  <c:v>0.72235422615544176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30-384D-8BA4-E145A6C3D05B}"/>
            </c:ext>
          </c:extLst>
        </c:ser>
        <c:ser>
          <c:idx val="5"/>
          <c:order val="5"/>
          <c:tx>
            <c:strRef>
              <c:f>CORES!$G$58</c:f>
              <c:strCache>
                <c:ptCount val="1"/>
                <c:pt idx="0">
                  <c:v>CP Score (Type 5)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CORES!$A$59:$A$65</c:f>
              <c:strCache>
                <c:ptCount val="7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  <c:pt idx="3">
                  <c:v>M5 Max Base</c:v>
                </c:pt>
                <c:pt idx="4">
                  <c:v>M5 Max</c:v>
                </c:pt>
                <c:pt idx="5">
                  <c:v>M5 Ultra Base</c:v>
                </c:pt>
                <c:pt idx="6">
                  <c:v>M5 Ultra</c:v>
                </c:pt>
              </c:strCache>
            </c:strRef>
          </c:cat>
          <c:val>
            <c:numRef>
              <c:f>CORES!$G$59:$G$65</c:f>
              <c:numCache>
                <c:formatCode>General</c:formatCode>
                <c:ptCount val="7"/>
                <c:pt idx="0">
                  <c:v>1</c:v>
                </c:pt>
                <c:pt idx="1">
                  <c:v>0.78269037857899426</c:v>
                </c:pt>
                <c:pt idx="2">
                  <c:v>0.74992193059166201</c:v>
                </c:pt>
                <c:pt idx="3">
                  <c:v>0.72915887359642961</c:v>
                </c:pt>
                <c:pt idx="4">
                  <c:v>0.69402716552710786</c:v>
                </c:pt>
                <c:pt idx="5">
                  <c:v>0.63323582639232301</c:v>
                </c:pt>
                <c:pt idx="6">
                  <c:v>0.51436973979890432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30-384D-8BA4-E145A6C3D05B}"/>
            </c:ext>
          </c:extLst>
        </c:ser>
        <c:ser>
          <c:idx val="6"/>
          <c:order val="6"/>
          <c:tx>
            <c:strRef>
              <c:f>CORES!$H$58</c:f>
              <c:strCache>
                <c:ptCount val="1"/>
                <c:pt idx="0">
                  <c:v>CP Score (Type 6)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CORES!$A$59:$A$65</c:f>
              <c:strCache>
                <c:ptCount val="7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  <c:pt idx="3">
                  <c:v>M5 Max Base</c:v>
                </c:pt>
                <c:pt idx="4">
                  <c:v>M5 Max</c:v>
                </c:pt>
                <c:pt idx="5">
                  <c:v>M5 Ultra Base</c:v>
                </c:pt>
                <c:pt idx="6">
                  <c:v>M5 Ultra</c:v>
                </c:pt>
              </c:strCache>
            </c:strRef>
          </c:cat>
          <c:val>
            <c:numRef>
              <c:f>CORES!$H$59:$H$65</c:f>
              <c:numCache>
                <c:formatCode>General</c:formatCode>
                <c:ptCount val="7"/>
                <c:pt idx="0">
                  <c:v>1</c:v>
                </c:pt>
                <c:pt idx="1">
                  <c:v>0.85272573842986155</c:v>
                </c:pt>
                <c:pt idx="2">
                  <c:v>0.87413645310430288</c:v>
                </c:pt>
                <c:pt idx="3">
                  <c:v>1.0303737982350685</c:v>
                </c:pt>
                <c:pt idx="4">
                  <c:v>1.0604155469805936</c:v>
                </c:pt>
                <c:pt idx="5">
                  <c:v>1.0773445287724712</c:v>
                </c:pt>
                <c:pt idx="6">
                  <c:v>0.93033871251197897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30-384D-8BA4-E145A6C3D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8896191"/>
        <c:axId val="1458882751"/>
      </c:lineChart>
      <c:catAx>
        <c:axId val="1458896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Chips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882751"/>
        <c:crosses val="autoZero"/>
        <c:auto val="1"/>
        <c:lblAlgn val="ctr"/>
        <c:lblOffset val="100"/>
        <c:noMultiLvlLbl val="0"/>
      </c:catAx>
      <c:valAx>
        <c:axId val="1458882751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CP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896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Scores v.s. Chips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CORES!$B$94</c:f>
              <c:strCache>
                <c:ptCount val="1"/>
                <c:pt idx="0">
                  <c:v>Standard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CORES!$A$95:$A$101</c:f>
              <c:strCache>
                <c:ptCount val="7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  <c:pt idx="3">
                  <c:v>M5 Max Base</c:v>
                </c:pt>
                <c:pt idx="4">
                  <c:v>M5 Max</c:v>
                </c:pt>
                <c:pt idx="5">
                  <c:v>M5 Ultra Base</c:v>
                </c:pt>
                <c:pt idx="6">
                  <c:v>M5 Ultra</c:v>
                </c:pt>
              </c:strCache>
            </c:strRef>
          </c:cat>
          <c:val>
            <c:numRef>
              <c:f>CORES!$B$95:$B$101</c:f>
              <c:numCache>
                <c:formatCode>General</c:formatCode>
                <c:ptCount val="7"/>
                <c:pt idx="0">
                  <c:v>1</c:v>
                </c:pt>
                <c:pt idx="1">
                  <c:v>1.1646719828582193</c:v>
                </c:pt>
                <c:pt idx="2">
                  <c:v>1.3194647723830746</c:v>
                </c:pt>
                <c:pt idx="3">
                  <c:v>1.6600504598534822</c:v>
                </c:pt>
                <c:pt idx="4">
                  <c:v>1.9055759265832648</c:v>
                </c:pt>
                <c:pt idx="5">
                  <c:v>2.7366248260005048</c:v>
                </c:pt>
                <c:pt idx="6">
                  <c:v>3.231716305782887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21-2D47-A01B-7224CF1889F4}"/>
            </c:ext>
          </c:extLst>
        </c:ser>
        <c:ser>
          <c:idx val="1"/>
          <c:order val="1"/>
          <c:tx>
            <c:strRef>
              <c:f>CORES!$C$94</c:f>
              <c:strCache>
                <c:ptCount val="1"/>
                <c:pt idx="0">
                  <c:v>Score (Type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CORES!$A$95:$A$101</c:f>
              <c:strCache>
                <c:ptCount val="7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  <c:pt idx="3">
                  <c:v>M5 Max Base</c:v>
                </c:pt>
                <c:pt idx="4">
                  <c:v>M5 Max</c:v>
                </c:pt>
                <c:pt idx="5">
                  <c:v>M5 Ultra Base</c:v>
                </c:pt>
                <c:pt idx="6">
                  <c:v>M5 Ultra</c:v>
                </c:pt>
              </c:strCache>
            </c:strRef>
          </c:cat>
          <c:val>
            <c:numRef>
              <c:f>CORES!$C$95:$C$101</c:f>
              <c:numCache>
                <c:formatCode>General</c:formatCode>
                <c:ptCount val="7"/>
                <c:pt idx="0">
                  <c:v>1</c:v>
                </c:pt>
                <c:pt idx="1">
                  <c:v>1.2068373204769978</c:v>
                </c:pt>
                <c:pt idx="2">
                  <c:v>1.4057632379218439</c:v>
                </c:pt>
                <c:pt idx="3">
                  <c:v>1.9112025035246498</c:v>
                </c:pt>
                <c:pt idx="4">
                  <c:v>2.2620132702386533</c:v>
                </c:pt>
                <c:pt idx="5">
                  <c:v>3.3847979367694552</c:v>
                </c:pt>
                <c:pt idx="6">
                  <c:v>4.0894498799395747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21-2D47-A01B-7224CF1889F4}"/>
            </c:ext>
          </c:extLst>
        </c:ser>
        <c:ser>
          <c:idx val="2"/>
          <c:order val="2"/>
          <c:tx>
            <c:strRef>
              <c:f>CORES!$D$94</c:f>
              <c:strCache>
                <c:ptCount val="1"/>
                <c:pt idx="0">
                  <c:v>Score (Type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CORES!$A$95:$A$101</c:f>
              <c:strCache>
                <c:ptCount val="7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  <c:pt idx="3">
                  <c:v>M5 Max Base</c:v>
                </c:pt>
                <c:pt idx="4">
                  <c:v>M5 Max</c:v>
                </c:pt>
                <c:pt idx="5">
                  <c:v>M5 Ultra Base</c:v>
                </c:pt>
                <c:pt idx="6">
                  <c:v>M5 Ultra</c:v>
                </c:pt>
              </c:strCache>
            </c:strRef>
          </c:cat>
          <c:val>
            <c:numRef>
              <c:f>CORES!$D$95:$D$101</c:f>
              <c:numCache>
                <c:formatCode>General</c:formatCode>
                <c:ptCount val="7"/>
                <c:pt idx="0">
                  <c:v>1</c:v>
                </c:pt>
                <c:pt idx="1">
                  <c:v>1.2186147228794</c:v>
                </c:pt>
                <c:pt idx="2">
                  <c:v>1.4386564662405241</c:v>
                </c:pt>
                <c:pt idx="3">
                  <c:v>2.0412757243358222</c:v>
                </c:pt>
                <c:pt idx="4">
                  <c:v>2.4533618288876635</c:v>
                </c:pt>
                <c:pt idx="5">
                  <c:v>3.7338285750884972</c:v>
                </c:pt>
                <c:pt idx="6">
                  <c:v>4.5571085212616191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21-2D47-A01B-7224CF1889F4}"/>
            </c:ext>
          </c:extLst>
        </c:ser>
        <c:ser>
          <c:idx val="3"/>
          <c:order val="3"/>
          <c:tx>
            <c:strRef>
              <c:f>CORES!$E$94</c:f>
              <c:strCache>
                <c:ptCount val="1"/>
                <c:pt idx="0">
                  <c:v>Score (Type 3)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CORES!$A$95:$A$101</c:f>
              <c:strCache>
                <c:ptCount val="7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  <c:pt idx="3">
                  <c:v>M5 Max Base</c:v>
                </c:pt>
                <c:pt idx="4">
                  <c:v>M5 Max</c:v>
                </c:pt>
                <c:pt idx="5">
                  <c:v>M5 Ultra Base</c:v>
                </c:pt>
                <c:pt idx="6">
                  <c:v>M5 Ultra</c:v>
                </c:pt>
              </c:strCache>
            </c:strRef>
          </c:cat>
          <c:val>
            <c:numRef>
              <c:f>CORES!$E$95:$E$101</c:f>
              <c:numCache>
                <c:formatCode>General</c:formatCode>
                <c:ptCount val="7"/>
                <c:pt idx="0">
                  <c:v>1</c:v>
                </c:pt>
                <c:pt idx="1">
                  <c:v>1.1562389153344634</c:v>
                </c:pt>
                <c:pt idx="2">
                  <c:v>1.3022050792753206</c:v>
                </c:pt>
                <c:pt idx="3">
                  <c:v>1.6098200511192486</c:v>
                </c:pt>
                <c:pt idx="4">
                  <c:v>1.8342884578521867</c:v>
                </c:pt>
                <c:pt idx="5">
                  <c:v>2.6069902038467152</c:v>
                </c:pt>
                <c:pt idx="6">
                  <c:v>3.0601695909515492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21-2D47-A01B-7224CF1889F4}"/>
            </c:ext>
          </c:extLst>
        </c:ser>
        <c:ser>
          <c:idx val="4"/>
          <c:order val="4"/>
          <c:tx>
            <c:strRef>
              <c:f>CORES!$F$94</c:f>
              <c:strCache>
                <c:ptCount val="1"/>
                <c:pt idx="0">
                  <c:v>Score (Type 4)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CORES!$A$95:$A$101</c:f>
              <c:strCache>
                <c:ptCount val="7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  <c:pt idx="3">
                  <c:v>M5 Max Base</c:v>
                </c:pt>
                <c:pt idx="4">
                  <c:v>M5 Max</c:v>
                </c:pt>
                <c:pt idx="5">
                  <c:v>M5 Ultra Base</c:v>
                </c:pt>
                <c:pt idx="6">
                  <c:v>M5 Ultra</c:v>
                </c:pt>
              </c:strCache>
            </c:strRef>
          </c:cat>
          <c:val>
            <c:numRef>
              <c:f>CORES!$F$95:$F$101</c:f>
              <c:numCache>
                <c:formatCode>General</c:formatCode>
                <c:ptCount val="7"/>
                <c:pt idx="0">
                  <c:v>1</c:v>
                </c:pt>
                <c:pt idx="1">
                  <c:v>1.1815381179057307</c:v>
                </c:pt>
                <c:pt idx="2">
                  <c:v>1.3539841585985823</c:v>
                </c:pt>
                <c:pt idx="3">
                  <c:v>1.7605112773219491</c:v>
                </c:pt>
                <c:pt idx="4">
                  <c:v>2.0481508640454202</c:v>
                </c:pt>
                <c:pt idx="5">
                  <c:v>2.995894070308085</c:v>
                </c:pt>
                <c:pt idx="6">
                  <c:v>3.5748097354455624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21-2D47-A01B-7224CF1889F4}"/>
            </c:ext>
          </c:extLst>
        </c:ser>
        <c:ser>
          <c:idx val="5"/>
          <c:order val="5"/>
          <c:tx>
            <c:strRef>
              <c:f>CORES!$G$94</c:f>
              <c:strCache>
                <c:ptCount val="1"/>
                <c:pt idx="0">
                  <c:v>Score (Type 5)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CORES!$A$95:$A$101</c:f>
              <c:strCache>
                <c:ptCount val="7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  <c:pt idx="3">
                  <c:v>M5 Max Base</c:v>
                </c:pt>
                <c:pt idx="4">
                  <c:v>M5 Max</c:v>
                </c:pt>
                <c:pt idx="5">
                  <c:v>M5 Ultra Base</c:v>
                </c:pt>
                <c:pt idx="6">
                  <c:v>M5 Ultra</c:v>
                </c:pt>
              </c:strCache>
            </c:strRef>
          </c:cat>
          <c:val>
            <c:numRef>
              <c:f>CORES!$G$95:$G$101</c:f>
              <c:numCache>
                <c:formatCode>General</c:formatCode>
                <c:ptCount val="7"/>
                <c:pt idx="0">
                  <c:v>1</c:v>
                </c:pt>
                <c:pt idx="1">
                  <c:v>1.1309397127631964</c:v>
                </c:pt>
                <c:pt idx="2">
                  <c:v>1.2504259999520593</c:v>
                </c:pt>
                <c:pt idx="3">
                  <c:v>1.4591288249165482</c:v>
                </c:pt>
                <c:pt idx="4">
                  <c:v>1.6204260516589537</c:v>
                </c:pt>
                <c:pt idx="5">
                  <c:v>2.218086337385345</c:v>
                </c:pt>
                <c:pt idx="6">
                  <c:v>2.5455294464575369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221-2D47-A01B-7224CF1889F4}"/>
            </c:ext>
          </c:extLst>
        </c:ser>
        <c:ser>
          <c:idx val="6"/>
          <c:order val="6"/>
          <c:tx>
            <c:strRef>
              <c:f>CORES!$H$94</c:f>
              <c:strCache>
                <c:ptCount val="1"/>
                <c:pt idx="0">
                  <c:v>Score (Type 6)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CORES!$A$95:$A$101</c:f>
              <c:strCache>
                <c:ptCount val="7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  <c:pt idx="3">
                  <c:v>M5 Max Base</c:v>
                </c:pt>
                <c:pt idx="4">
                  <c:v>M5 Max</c:v>
                </c:pt>
                <c:pt idx="5">
                  <c:v>M5 Ultra Base</c:v>
                </c:pt>
                <c:pt idx="6">
                  <c:v>M5 Ultra</c:v>
                </c:pt>
              </c:strCache>
            </c:strRef>
          </c:cat>
          <c:val>
            <c:numRef>
              <c:f>CORES!$H$95:$H$101</c:f>
              <c:numCache>
                <c:formatCode>General</c:formatCode>
                <c:ptCount val="7"/>
                <c:pt idx="0">
                  <c:v>1</c:v>
                </c:pt>
                <c:pt idx="1">
                  <c:v>1.2321365230482648</c:v>
                </c:pt>
                <c:pt idx="2">
                  <c:v>1.4575423172451056</c:v>
                </c:pt>
                <c:pt idx="3">
                  <c:v>2.0618937297273505</c:v>
                </c:pt>
                <c:pt idx="4">
                  <c:v>2.4758756764318863</c:v>
                </c:pt>
                <c:pt idx="5">
                  <c:v>3.7737018032308249</c:v>
                </c:pt>
                <c:pt idx="6">
                  <c:v>4.6040900244335869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221-2D47-A01B-7224CF188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9121087"/>
        <c:axId val="1459119743"/>
      </c:lineChart>
      <c:catAx>
        <c:axId val="1459121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Chips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119743"/>
        <c:crosses val="autoZero"/>
        <c:auto val="1"/>
        <c:lblAlgn val="ctr"/>
        <c:lblOffset val="100"/>
        <c:noMultiLvlLbl val="0"/>
      </c:catAx>
      <c:valAx>
        <c:axId val="1459119743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Scores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12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Scores v.s. Chips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CORES!$B$94</c:f>
              <c:strCache>
                <c:ptCount val="1"/>
                <c:pt idx="0">
                  <c:v>Standard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CORES!$A$95:$A$97</c:f>
              <c:strCache>
                <c:ptCount val="3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</c:strCache>
            </c:strRef>
          </c:cat>
          <c:val>
            <c:numRef>
              <c:f>CORES!$B$95:$B$97</c:f>
              <c:numCache>
                <c:formatCode>General</c:formatCode>
                <c:ptCount val="3"/>
                <c:pt idx="0">
                  <c:v>1</c:v>
                </c:pt>
                <c:pt idx="1">
                  <c:v>1.1646719828582193</c:v>
                </c:pt>
                <c:pt idx="2">
                  <c:v>1.3194647723830746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9A-7342-8103-B8187D48A842}"/>
            </c:ext>
          </c:extLst>
        </c:ser>
        <c:ser>
          <c:idx val="1"/>
          <c:order val="1"/>
          <c:tx>
            <c:strRef>
              <c:f>CORES!$C$94</c:f>
              <c:strCache>
                <c:ptCount val="1"/>
                <c:pt idx="0">
                  <c:v>Score (Type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CORES!$A$95:$A$97</c:f>
              <c:strCache>
                <c:ptCount val="3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</c:strCache>
            </c:strRef>
          </c:cat>
          <c:val>
            <c:numRef>
              <c:f>CORES!$C$95:$C$97</c:f>
              <c:numCache>
                <c:formatCode>General</c:formatCode>
                <c:ptCount val="3"/>
                <c:pt idx="0">
                  <c:v>1</c:v>
                </c:pt>
                <c:pt idx="1">
                  <c:v>1.2068373204769978</c:v>
                </c:pt>
                <c:pt idx="2">
                  <c:v>1.4057632379218439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9A-7342-8103-B8187D48A842}"/>
            </c:ext>
          </c:extLst>
        </c:ser>
        <c:ser>
          <c:idx val="2"/>
          <c:order val="2"/>
          <c:tx>
            <c:strRef>
              <c:f>CORES!$D$94</c:f>
              <c:strCache>
                <c:ptCount val="1"/>
                <c:pt idx="0">
                  <c:v>Score (Type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CORES!$A$95:$A$97</c:f>
              <c:strCache>
                <c:ptCount val="3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</c:strCache>
            </c:strRef>
          </c:cat>
          <c:val>
            <c:numRef>
              <c:f>CORES!$D$95:$D$97</c:f>
              <c:numCache>
                <c:formatCode>General</c:formatCode>
                <c:ptCount val="3"/>
                <c:pt idx="0">
                  <c:v>1</c:v>
                </c:pt>
                <c:pt idx="1">
                  <c:v>1.2186147228794</c:v>
                </c:pt>
                <c:pt idx="2">
                  <c:v>1.4386564662405241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9A-7342-8103-B8187D48A842}"/>
            </c:ext>
          </c:extLst>
        </c:ser>
        <c:ser>
          <c:idx val="3"/>
          <c:order val="3"/>
          <c:tx>
            <c:strRef>
              <c:f>CORES!$E$94</c:f>
              <c:strCache>
                <c:ptCount val="1"/>
                <c:pt idx="0">
                  <c:v>Score (Type 3)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CORES!$A$95:$A$97</c:f>
              <c:strCache>
                <c:ptCount val="3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</c:strCache>
            </c:strRef>
          </c:cat>
          <c:val>
            <c:numRef>
              <c:f>CORES!$E$95:$E$97</c:f>
              <c:numCache>
                <c:formatCode>General</c:formatCode>
                <c:ptCount val="3"/>
                <c:pt idx="0">
                  <c:v>1</c:v>
                </c:pt>
                <c:pt idx="1">
                  <c:v>1.1562389153344634</c:v>
                </c:pt>
                <c:pt idx="2">
                  <c:v>1.3022050792753206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59A-7342-8103-B8187D48A842}"/>
            </c:ext>
          </c:extLst>
        </c:ser>
        <c:ser>
          <c:idx val="4"/>
          <c:order val="4"/>
          <c:tx>
            <c:strRef>
              <c:f>CORES!$F$94</c:f>
              <c:strCache>
                <c:ptCount val="1"/>
                <c:pt idx="0">
                  <c:v>Score (Type 4)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CORES!$A$95:$A$97</c:f>
              <c:strCache>
                <c:ptCount val="3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</c:strCache>
            </c:strRef>
          </c:cat>
          <c:val>
            <c:numRef>
              <c:f>CORES!$F$95:$F$97</c:f>
              <c:numCache>
                <c:formatCode>General</c:formatCode>
                <c:ptCount val="3"/>
                <c:pt idx="0">
                  <c:v>1</c:v>
                </c:pt>
                <c:pt idx="1">
                  <c:v>1.1815381179057307</c:v>
                </c:pt>
                <c:pt idx="2">
                  <c:v>1.3539841585985823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59A-7342-8103-B8187D48A842}"/>
            </c:ext>
          </c:extLst>
        </c:ser>
        <c:ser>
          <c:idx val="5"/>
          <c:order val="5"/>
          <c:tx>
            <c:strRef>
              <c:f>CORES!$G$94</c:f>
              <c:strCache>
                <c:ptCount val="1"/>
                <c:pt idx="0">
                  <c:v>Score (Type 5)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CORES!$A$95:$A$97</c:f>
              <c:strCache>
                <c:ptCount val="3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</c:strCache>
            </c:strRef>
          </c:cat>
          <c:val>
            <c:numRef>
              <c:f>CORES!$G$95:$G$97</c:f>
              <c:numCache>
                <c:formatCode>General</c:formatCode>
                <c:ptCount val="3"/>
                <c:pt idx="0">
                  <c:v>1</c:v>
                </c:pt>
                <c:pt idx="1">
                  <c:v>1.1309397127631964</c:v>
                </c:pt>
                <c:pt idx="2">
                  <c:v>1.2504259999520593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59A-7342-8103-B8187D48A842}"/>
            </c:ext>
          </c:extLst>
        </c:ser>
        <c:ser>
          <c:idx val="6"/>
          <c:order val="6"/>
          <c:tx>
            <c:strRef>
              <c:f>CORES!$H$94</c:f>
              <c:strCache>
                <c:ptCount val="1"/>
                <c:pt idx="0">
                  <c:v>Score (Type 6)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CORES!$A$95:$A$97</c:f>
              <c:strCache>
                <c:ptCount val="3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</c:strCache>
            </c:strRef>
          </c:cat>
          <c:val>
            <c:numRef>
              <c:f>CORES!$H$95:$H$97</c:f>
              <c:numCache>
                <c:formatCode>General</c:formatCode>
                <c:ptCount val="3"/>
                <c:pt idx="0">
                  <c:v>1</c:v>
                </c:pt>
                <c:pt idx="1">
                  <c:v>1.2321365230482648</c:v>
                </c:pt>
                <c:pt idx="2">
                  <c:v>1.4575423172451056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59A-7342-8103-B8187D48A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9356543"/>
        <c:axId val="1459368191"/>
      </c:lineChart>
      <c:catAx>
        <c:axId val="145935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368191"/>
        <c:crosses val="autoZero"/>
        <c:auto val="1"/>
        <c:lblAlgn val="ctr"/>
        <c:lblOffset val="100"/>
        <c:noMultiLvlLbl val="0"/>
      </c:catAx>
      <c:valAx>
        <c:axId val="1459368191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35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CP Score v.s. Chips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CORES!$B$58</c:f>
              <c:strCache>
                <c:ptCount val="1"/>
                <c:pt idx="0">
                  <c:v>CP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CORES!$A$59:$A$61</c:f>
              <c:strCache>
                <c:ptCount val="3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</c:strCache>
            </c:strRef>
          </c:cat>
          <c:val>
            <c:numRef>
              <c:f>CORES!$B$59:$B$61</c:f>
              <c:numCache>
                <c:formatCode>General</c:formatCode>
                <c:ptCount val="3"/>
                <c:pt idx="0">
                  <c:v>1</c:v>
                </c:pt>
                <c:pt idx="1">
                  <c:v>0.80603549852928336</c:v>
                </c:pt>
                <c:pt idx="2">
                  <c:v>0.79132677142920882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18-6A4D-9A07-9281AE0CA572}"/>
            </c:ext>
          </c:extLst>
        </c:ser>
        <c:ser>
          <c:idx val="1"/>
          <c:order val="1"/>
          <c:tx>
            <c:strRef>
              <c:f>CORES!$C$58</c:f>
              <c:strCache>
                <c:ptCount val="1"/>
                <c:pt idx="0">
                  <c:v>CP Score (Type 1)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CORES!$A$59:$A$61</c:f>
              <c:strCache>
                <c:ptCount val="3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</c:strCache>
            </c:strRef>
          </c:cat>
          <c:val>
            <c:numRef>
              <c:f>CORES!$C$59:$C$61</c:f>
              <c:numCache>
                <c:formatCode>General</c:formatCode>
                <c:ptCount val="3"/>
                <c:pt idx="0">
                  <c:v>1</c:v>
                </c:pt>
                <c:pt idx="1">
                  <c:v>0.83521689846714475</c:v>
                </c:pt>
                <c:pt idx="2">
                  <c:v>0.84308282247614252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18-6A4D-9A07-9281AE0CA572}"/>
            </c:ext>
          </c:extLst>
        </c:ser>
        <c:ser>
          <c:idx val="2"/>
          <c:order val="2"/>
          <c:tx>
            <c:strRef>
              <c:f>CORES!$D$58</c:f>
              <c:strCache>
                <c:ptCount val="1"/>
                <c:pt idx="0">
                  <c:v>CP Score (Type 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CORES!$A$59:$A$61</c:f>
              <c:strCache>
                <c:ptCount val="3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</c:strCache>
            </c:strRef>
          </c:cat>
          <c:val>
            <c:numRef>
              <c:f>CORES!$D$59:$D$61</c:f>
              <c:numCache>
                <c:formatCode>General</c:formatCode>
                <c:ptCount val="3"/>
                <c:pt idx="0">
                  <c:v>1</c:v>
                </c:pt>
                <c:pt idx="1">
                  <c:v>0.84336769504894582</c:v>
                </c:pt>
                <c:pt idx="2">
                  <c:v>0.86280998208821291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18-6A4D-9A07-9281AE0CA572}"/>
            </c:ext>
          </c:extLst>
        </c:ser>
        <c:ser>
          <c:idx val="3"/>
          <c:order val="3"/>
          <c:tx>
            <c:strRef>
              <c:f>CORES!$E$58</c:f>
              <c:strCache>
                <c:ptCount val="1"/>
                <c:pt idx="0">
                  <c:v>CP Score (Type 3)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CORES!$A$59:$A$61</c:f>
              <c:strCache>
                <c:ptCount val="3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</c:strCache>
            </c:strRef>
          </c:cat>
          <c:val>
            <c:numRef>
              <c:f>CORES!$E$59:$E$61</c:f>
              <c:numCache>
                <c:formatCode>General</c:formatCode>
                <c:ptCount val="3"/>
                <c:pt idx="0">
                  <c:v>1</c:v>
                </c:pt>
                <c:pt idx="1">
                  <c:v>0.80019921854171105</c:v>
                </c:pt>
                <c:pt idx="2">
                  <c:v>0.78097556121982203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18-6A4D-9A07-9281AE0CA572}"/>
            </c:ext>
          </c:extLst>
        </c:ser>
        <c:ser>
          <c:idx val="4"/>
          <c:order val="4"/>
          <c:tx>
            <c:strRef>
              <c:f>CORES!$F$58</c:f>
              <c:strCache>
                <c:ptCount val="1"/>
                <c:pt idx="0">
                  <c:v>CP Score (Type 4)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CORES!$A$59:$A$61</c:f>
              <c:strCache>
                <c:ptCount val="3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</c:strCache>
            </c:strRef>
          </c:cat>
          <c:val>
            <c:numRef>
              <c:f>CORES!$F$59:$F$61</c:f>
              <c:numCache>
                <c:formatCode>General</c:formatCode>
                <c:ptCount val="3"/>
                <c:pt idx="0">
                  <c:v>1</c:v>
                </c:pt>
                <c:pt idx="1">
                  <c:v>0.81770805850442796</c:v>
                </c:pt>
                <c:pt idx="2">
                  <c:v>0.81202919184798239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18-6A4D-9A07-9281AE0CA572}"/>
            </c:ext>
          </c:extLst>
        </c:ser>
        <c:ser>
          <c:idx val="5"/>
          <c:order val="5"/>
          <c:tx>
            <c:strRef>
              <c:f>CORES!$G$58</c:f>
              <c:strCache>
                <c:ptCount val="1"/>
                <c:pt idx="0">
                  <c:v>CP Score (Type 5)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CORES!$A$59:$A$61</c:f>
              <c:strCache>
                <c:ptCount val="3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</c:strCache>
            </c:strRef>
          </c:cat>
          <c:val>
            <c:numRef>
              <c:f>CORES!$G$59:$G$61</c:f>
              <c:numCache>
                <c:formatCode>General</c:formatCode>
                <c:ptCount val="3"/>
                <c:pt idx="0">
                  <c:v>1</c:v>
                </c:pt>
                <c:pt idx="1">
                  <c:v>0.78269037857899426</c:v>
                </c:pt>
                <c:pt idx="2">
                  <c:v>0.74992193059166201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18-6A4D-9A07-9281AE0CA572}"/>
            </c:ext>
          </c:extLst>
        </c:ser>
        <c:ser>
          <c:idx val="6"/>
          <c:order val="6"/>
          <c:tx>
            <c:strRef>
              <c:f>CORES!$H$58</c:f>
              <c:strCache>
                <c:ptCount val="1"/>
                <c:pt idx="0">
                  <c:v>CP Score (Type 6)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CORES!$A$59:$A$61</c:f>
              <c:strCache>
                <c:ptCount val="3"/>
                <c:pt idx="0">
                  <c:v>M6</c:v>
                </c:pt>
                <c:pt idx="1">
                  <c:v>M5 Pro Base</c:v>
                </c:pt>
                <c:pt idx="2">
                  <c:v>M5 Pro</c:v>
                </c:pt>
              </c:strCache>
            </c:strRef>
          </c:cat>
          <c:val>
            <c:numRef>
              <c:f>CORES!$H$59:$H$61</c:f>
              <c:numCache>
                <c:formatCode>General</c:formatCode>
                <c:ptCount val="3"/>
                <c:pt idx="0">
                  <c:v>1</c:v>
                </c:pt>
                <c:pt idx="1">
                  <c:v>0.85272573842986155</c:v>
                </c:pt>
                <c:pt idx="2">
                  <c:v>0.87413645310430288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18-6A4D-9A07-9281AE0CA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5117247"/>
        <c:axId val="1459211775"/>
      </c:lineChart>
      <c:catAx>
        <c:axId val="1415117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Chips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211775"/>
        <c:crosses val="autoZero"/>
        <c:auto val="1"/>
        <c:lblAlgn val="ctr"/>
        <c:lblOffset val="100"/>
        <c:noMultiLvlLbl val="0"/>
      </c:catAx>
      <c:valAx>
        <c:axId val="1459211775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CP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11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803520</xdr:colOff>
      <xdr:row>20</xdr:row>
      <xdr:rowOff>39077</xdr:rowOff>
    </xdr:from>
    <xdr:to>
      <xdr:col>7</xdr:col>
      <xdr:colOff>588819</xdr:colOff>
      <xdr:row>36</xdr:row>
      <xdr:rowOff>78154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B42BD5-5453-B4F4-3215-483B3328C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796636</xdr:colOff>
      <xdr:row>67</xdr:row>
      <xdr:rowOff>31172</xdr:rowOff>
    </xdr:from>
    <xdr:to>
      <xdr:col>7</xdr:col>
      <xdr:colOff>1420091</xdr:colOff>
      <xdr:row>89</xdr:row>
      <xdr:rowOff>115455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1BF9D2-F662-8FB3-A6A7-AB9DA0273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34635</xdr:colOff>
      <xdr:row>104</xdr:row>
      <xdr:rowOff>77354</xdr:rowOff>
    </xdr:from>
    <xdr:to>
      <xdr:col>7</xdr:col>
      <xdr:colOff>1027546</xdr:colOff>
      <xdr:row>125</xdr:row>
      <xdr:rowOff>150091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216EC-643C-82F5-7031-2E7AAA962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958271</xdr:colOff>
      <xdr:row>127</xdr:row>
      <xdr:rowOff>31173</xdr:rowOff>
    </xdr:from>
    <xdr:to>
      <xdr:col>7</xdr:col>
      <xdr:colOff>1062181</xdr:colOff>
      <xdr:row>149</xdr:row>
      <xdr:rowOff>115455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F56C0D-2270-07ED-FE28-22001B3C2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1154546</xdr:colOff>
      <xdr:row>66</xdr:row>
      <xdr:rowOff>161637</xdr:rowOff>
    </xdr:from>
    <xdr:to>
      <xdr:col>15</xdr:col>
      <xdr:colOff>392547</xdr:colOff>
      <xdr:row>90</xdr:row>
      <xdr:rowOff>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6E67DA0-7308-B626-1BE1-7C7B67C0A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EF79-D137-A947-BB0C-49A2683F7F54}">
  <dimension ref="A1:G75"/>
  <sheetViews>
    <sheetView topLeftCell="B54" zoomScale="150" zoomScaleNormal="150" workbookViewId="0">
      <selection activeCell="G66" sqref="G66"/>
    </sheetView>
  </sheetViews>
  <sheetFormatPr baseColWidth="10" defaultRowHeight="16" x14ac:dyDescent="0.2"/>
  <cols>
    <col min="7" max="7" width="14.1640625" customWidth="1"/>
  </cols>
  <sheetData>
    <row r="1" spans="1:7" x14ac:dyDescent="0.2">
      <c r="A1" t="s">
        <v>0</v>
      </c>
      <c r="B1" t="s">
        <v>6</v>
      </c>
      <c r="C1" t="s">
        <v>7</v>
      </c>
      <c r="D1" t="s">
        <v>4</v>
      </c>
      <c r="E1" t="s">
        <v>2</v>
      </c>
      <c r="F1" t="s">
        <v>3</v>
      </c>
      <c r="G1" t="s">
        <v>12</v>
      </c>
    </row>
    <row r="2" spans="1:7" x14ac:dyDescent="0.2">
      <c r="A2" t="s">
        <v>1</v>
      </c>
      <c r="B2">
        <v>12</v>
      </c>
      <c r="C2">
        <v>12</v>
      </c>
      <c r="D2">
        <v>899</v>
      </c>
      <c r="E2">
        <v>16</v>
      </c>
      <c r="F2">
        <v>256</v>
      </c>
    </row>
    <row r="3" spans="1:7" x14ac:dyDescent="0.2">
      <c r="A3" t="s">
        <v>1</v>
      </c>
      <c r="B3">
        <v>12</v>
      </c>
      <c r="C3">
        <v>12</v>
      </c>
      <c r="D3">
        <v>1099</v>
      </c>
      <c r="E3">
        <v>24</v>
      </c>
      <c r="F3">
        <v>256</v>
      </c>
      <c r="G3">
        <f>(D3-D2)/(E3-E2)*8</f>
        <v>200</v>
      </c>
    </row>
    <row r="4" spans="1:7" x14ac:dyDescent="0.2">
      <c r="A4" t="s">
        <v>1</v>
      </c>
      <c r="B4">
        <v>12</v>
      </c>
      <c r="C4">
        <v>12</v>
      </c>
      <c r="D4">
        <v>1299</v>
      </c>
      <c r="E4">
        <v>32</v>
      </c>
      <c r="F4">
        <v>256</v>
      </c>
      <c r="G4">
        <f>(D4-D3)/(E4-E3)*8</f>
        <v>200</v>
      </c>
    </row>
    <row r="6" spans="1:7" x14ac:dyDescent="0.2">
      <c r="A6" t="s">
        <v>0</v>
      </c>
      <c r="B6" t="s">
        <v>6</v>
      </c>
      <c r="C6" t="s">
        <v>7</v>
      </c>
      <c r="D6" t="s">
        <v>4</v>
      </c>
      <c r="E6" t="s">
        <v>2</v>
      </c>
      <c r="F6" t="s">
        <v>3</v>
      </c>
      <c r="G6" t="s">
        <v>13</v>
      </c>
    </row>
    <row r="7" spans="1:7" x14ac:dyDescent="0.2">
      <c r="A7" t="s">
        <v>1</v>
      </c>
      <c r="B7">
        <v>12</v>
      </c>
      <c r="C7">
        <v>12</v>
      </c>
      <c r="D7">
        <v>899</v>
      </c>
      <c r="E7">
        <v>16</v>
      </c>
      <c r="F7">
        <v>256</v>
      </c>
    </row>
    <row r="8" spans="1:7" x14ac:dyDescent="0.2">
      <c r="A8" t="s">
        <v>1</v>
      </c>
      <c r="B8">
        <v>12</v>
      </c>
      <c r="C8">
        <v>12</v>
      </c>
      <c r="D8">
        <v>1099</v>
      </c>
      <c r="E8">
        <v>16</v>
      </c>
      <c r="F8">
        <v>512</v>
      </c>
      <c r="G8">
        <f>(D8-D7)/(F8-F7)*256</f>
        <v>200</v>
      </c>
    </row>
    <row r="9" spans="1:7" x14ac:dyDescent="0.2">
      <c r="A9" t="s">
        <v>1</v>
      </c>
      <c r="B9">
        <v>12</v>
      </c>
      <c r="C9">
        <v>12</v>
      </c>
      <c r="D9">
        <f>899+500</f>
        <v>1399</v>
      </c>
      <c r="E9">
        <v>16</v>
      </c>
      <c r="F9">
        <v>1024</v>
      </c>
      <c r="G9">
        <f t="shared" ref="G9:G10" si="0">(D9-D8)/(F9-F8)*256</f>
        <v>150</v>
      </c>
    </row>
    <row r="10" spans="1:7" x14ac:dyDescent="0.2">
      <c r="A10" t="s">
        <v>1</v>
      </c>
      <c r="B10">
        <v>12</v>
      </c>
      <c r="C10">
        <v>12</v>
      </c>
      <c r="D10">
        <f>899+1000</f>
        <v>1899</v>
      </c>
      <c r="E10">
        <v>16</v>
      </c>
      <c r="F10">
        <v>2048</v>
      </c>
      <c r="G10">
        <f t="shared" si="0"/>
        <v>125</v>
      </c>
    </row>
    <row r="12" spans="1:7" x14ac:dyDescent="0.2">
      <c r="A12" t="s">
        <v>0</v>
      </c>
      <c r="B12" t="s">
        <v>6</v>
      </c>
      <c r="C12" t="s">
        <v>7</v>
      </c>
      <c r="D12" t="s">
        <v>4</v>
      </c>
      <c r="E12" t="s">
        <v>2</v>
      </c>
      <c r="F12" t="s">
        <v>3</v>
      </c>
      <c r="G12" t="s">
        <v>12</v>
      </c>
    </row>
    <row r="13" spans="1:7" x14ac:dyDescent="0.2">
      <c r="A13" t="s">
        <v>5</v>
      </c>
      <c r="B13">
        <v>15</v>
      </c>
      <c r="C13">
        <v>16</v>
      </c>
      <c r="D13">
        <v>1699</v>
      </c>
      <c r="E13">
        <v>24</v>
      </c>
      <c r="F13">
        <v>512</v>
      </c>
    </row>
    <row r="14" spans="1:7" x14ac:dyDescent="0.2">
      <c r="A14" t="s">
        <v>5</v>
      </c>
      <c r="B14">
        <v>15</v>
      </c>
      <c r="C14">
        <v>16</v>
      </c>
      <c r="D14">
        <f>D13+600</f>
        <v>2299</v>
      </c>
      <c r="E14">
        <v>48</v>
      </c>
      <c r="F14">
        <v>512</v>
      </c>
      <c r="G14">
        <f>(D14-D13)/(E14-E13)*8</f>
        <v>200</v>
      </c>
    </row>
    <row r="15" spans="1:7" x14ac:dyDescent="0.2">
      <c r="A15" t="s">
        <v>5</v>
      </c>
      <c r="B15">
        <v>15</v>
      </c>
      <c r="C15">
        <v>16</v>
      </c>
      <c r="D15">
        <f>D13+1000</f>
        <v>2699</v>
      </c>
      <c r="E15">
        <v>64</v>
      </c>
      <c r="F15">
        <v>512</v>
      </c>
      <c r="G15">
        <f>(D15-D14)/(E15-E14)*8</f>
        <v>200</v>
      </c>
    </row>
    <row r="17" spans="1:7" x14ac:dyDescent="0.2">
      <c r="A17" t="s">
        <v>0</v>
      </c>
      <c r="B17" t="s">
        <v>6</v>
      </c>
      <c r="C17" t="s">
        <v>7</v>
      </c>
      <c r="D17" t="s">
        <v>4</v>
      </c>
      <c r="E17" t="s">
        <v>2</v>
      </c>
      <c r="F17" t="s">
        <v>3</v>
      </c>
      <c r="G17" t="s">
        <v>13</v>
      </c>
    </row>
    <row r="18" spans="1:7" x14ac:dyDescent="0.2">
      <c r="A18" t="s">
        <v>5</v>
      </c>
      <c r="B18">
        <v>15</v>
      </c>
      <c r="C18">
        <v>16</v>
      </c>
      <c r="D18">
        <v>1699</v>
      </c>
      <c r="E18">
        <v>24</v>
      </c>
      <c r="F18">
        <v>512</v>
      </c>
    </row>
    <row r="19" spans="1:7" x14ac:dyDescent="0.2">
      <c r="A19" t="s">
        <v>5</v>
      </c>
      <c r="B19">
        <v>15</v>
      </c>
      <c r="C19">
        <v>16</v>
      </c>
      <c r="D19">
        <f>D18+300</f>
        <v>1999</v>
      </c>
      <c r="E19">
        <v>24</v>
      </c>
      <c r="F19">
        <v>1024</v>
      </c>
      <c r="G19">
        <f>(D19-D18)/(F19-F18)*256</f>
        <v>150</v>
      </c>
    </row>
    <row r="20" spans="1:7" x14ac:dyDescent="0.2">
      <c r="A20" t="s">
        <v>5</v>
      </c>
      <c r="B20">
        <v>15</v>
      </c>
      <c r="C20">
        <v>16</v>
      </c>
      <c r="D20">
        <f>D18+800</f>
        <v>2499</v>
      </c>
      <c r="E20">
        <v>24</v>
      </c>
      <c r="F20">
        <f>1024*2</f>
        <v>2048</v>
      </c>
      <c r="G20">
        <f t="shared" ref="G20:G22" si="1">(D20-D19)/(F20-F19)*256</f>
        <v>125</v>
      </c>
    </row>
    <row r="21" spans="1:7" x14ac:dyDescent="0.2">
      <c r="A21" t="s">
        <v>5</v>
      </c>
      <c r="B21">
        <v>15</v>
      </c>
      <c r="C21">
        <v>16</v>
      </c>
      <c r="D21">
        <f>D18+1800</f>
        <v>3499</v>
      </c>
      <c r="E21">
        <v>24</v>
      </c>
      <c r="F21">
        <f>1024*4</f>
        <v>4096</v>
      </c>
      <c r="G21">
        <f t="shared" si="1"/>
        <v>125</v>
      </c>
    </row>
    <row r="22" spans="1:7" x14ac:dyDescent="0.2">
      <c r="A22" t="s">
        <v>5</v>
      </c>
      <c r="B22">
        <v>15</v>
      </c>
      <c r="C22">
        <v>16</v>
      </c>
      <c r="D22">
        <f>D18+3800</f>
        <v>5499</v>
      </c>
      <c r="E22">
        <v>24</v>
      </c>
      <c r="F22">
        <f>1024*8</f>
        <v>8192</v>
      </c>
      <c r="G22">
        <f t="shared" si="1"/>
        <v>125</v>
      </c>
    </row>
    <row r="24" spans="1:7" x14ac:dyDescent="0.2">
      <c r="A24" t="s">
        <v>0</v>
      </c>
      <c r="B24" t="s">
        <v>6</v>
      </c>
      <c r="C24" t="s">
        <v>7</v>
      </c>
      <c r="D24" t="s">
        <v>4</v>
      </c>
      <c r="E24" t="s">
        <v>2</v>
      </c>
      <c r="F24" t="s">
        <v>3</v>
      </c>
      <c r="G24" t="s">
        <v>12</v>
      </c>
    </row>
    <row r="25" spans="1:7" x14ac:dyDescent="0.2">
      <c r="A25" t="s">
        <v>5</v>
      </c>
      <c r="B25">
        <v>18</v>
      </c>
      <c r="C25">
        <v>20</v>
      </c>
      <c r="D25">
        <v>1899</v>
      </c>
      <c r="E25">
        <v>24</v>
      </c>
      <c r="F25">
        <v>512</v>
      </c>
    </row>
    <row r="26" spans="1:7" x14ac:dyDescent="0.2">
      <c r="A26" t="s">
        <v>5</v>
      </c>
      <c r="B26">
        <v>18</v>
      </c>
      <c r="C26">
        <v>20</v>
      </c>
      <c r="D26">
        <f>D25+600</f>
        <v>2499</v>
      </c>
      <c r="E26">
        <v>48</v>
      </c>
      <c r="F26">
        <v>512</v>
      </c>
      <c r="G26">
        <f>(D26-D25)/(E26-E25)*8</f>
        <v>200</v>
      </c>
    </row>
    <row r="27" spans="1:7" x14ac:dyDescent="0.2">
      <c r="A27" t="s">
        <v>5</v>
      </c>
      <c r="B27">
        <v>18</v>
      </c>
      <c r="C27">
        <v>20</v>
      </c>
      <c r="D27">
        <f>D25+1000</f>
        <v>2899</v>
      </c>
      <c r="E27">
        <v>64</v>
      </c>
      <c r="F27">
        <v>512</v>
      </c>
      <c r="G27">
        <f>(D27-D26)/(E27-E26)*8</f>
        <v>200</v>
      </c>
    </row>
    <row r="29" spans="1:7" x14ac:dyDescent="0.2">
      <c r="A29" t="s">
        <v>0</v>
      </c>
      <c r="B29" t="s">
        <v>6</v>
      </c>
      <c r="C29" t="s">
        <v>7</v>
      </c>
      <c r="D29" t="s">
        <v>4</v>
      </c>
      <c r="E29" t="s">
        <v>2</v>
      </c>
      <c r="F29" t="s">
        <v>3</v>
      </c>
      <c r="G29" t="s">
        <v>13</v>
      </c>
    </row>
    <row r="30" spans="1:7" x14ac:dyDescent="0.2">
      <c r="A30" t="s">
        <v>5</v>
      </c>
      <c r="B30">
        <v>18</v>
      </c>
      <c r="C30">
        <v>20</v>
      </c>
      <c r="D30">
        <v>1899</v>
      </c>
      <c r="E30">
        <v>24</v>
      </c>
      <c r="F30">
        <v>512</v>
      </c>
    </row>
    <row r="31" spans="1:7" x14ac:dyDescent="0.2">
      <c r="A31" t="s">
        <v>5</v>
      </c>
      <c r="B31">
        <v>18</v>
      </c>
      <c r="C31">
        <v>20</v>
      </c>
      <c r="D31">
        <f>D30+300</f>
        <v>2199</v>
      </c>
      <c r="E31">
        <v>24</v>
      </c>
      <c r="F31">
        <v>1024</v>
      </c>
      <c r="G31">
        <f>(D31-D30)/(F31-F30)*256</f>
        <v>150</v>
      </c>
    </row>
    <row r="32" spans="1:7" x14ac:dyDescent="0.2">
      <c r="A32" t="s">
        <v>5</v>
      </c>
      <c r="B32">
        <v>18</v>
      </c>
      <c r="C32">
        <v>20</v>
      </c>
      <c r="D32">
        <f>D30+800</f>
        <v>2699</v>
      </c>
      <c r="E32">
        <v>24</v>
      </c>
      <c r="F32">
        <f>1024*2</f>
        <v>2048</v>
      </c>
      <c r="G32">
        <f t="shared" ref="G32:G34" si="2">(D32-D31)/(F32-F31)*256</f>
        <v>125</v>
      </c>
    </row>
    <row r="33" spans="1:7" x14ac:dyDescent="0.2">
      <c r="A33" t="s">
        <v>5</v>
      </c>
      <c r="B33">
        <v>18</v>
      </c>
      <c r="C33">
        <v>20</v>
      </c>
      <c r="D33">
        <f>D30+1800</f>
        <v>3699</v>
      </c>
      <c r="E33">
        <v>24</v>
      </c>
      <c r="F33">
        <f>1024*4</f>
        <v>4096</v>
      </c>
      <c r="G33">
        <f t="shared" si="2"/>
        <v>125</v>
      </c>
    </row>
    <row r="34" spans="1:7" x14ac:dyDescent="0.2">
      <c r="A34" t="s">
        <v>5</v>
      </c>
      <c r="B34">
        <v>18</v>
      </c>
      <c r="C34">
        <v>20</v>
      </c>
      <c r="D34">
        <f>D30+3800</f>
        <v>5699</v>
      </c>
      <c r="E34">
        <v>24</v>
      </c>
      <c r="F34">
        <f>1024*8</f>
        <v>8192</v>
      </c>
      <c r="G34">
        <f t="shared" si="2"/>
        <v>125</v>
      </c>
    </row>
    <row r="36" spans="1:7" x14ac:dyDescent="0.2">
      <c r="A36" t="s">
        <v>0</v>
      </c>
      <c r="B36" t="s">
        <v>6</v>
      </c>
      <c r="C36" t="s">
        <v>7</v>
      </c>
      <c r="D36" t="s">
        <v>4</v>
      </c>
      <c r="E36" t="s">
        <v>2</v>
      </c>
      <c r="F36" t="s">
        <v>3</v>
      </c>
      <c r="G36" t="s">
        <v>13</v>
      </c>
    </row>
    <row r="37" spans="1:7" x14ac:dyDescent="0.2">
      <c r="A37" t="s">
        <v>8</v>
      </c>
      <c r="B37">
        <v>18</v>
      </c>
      <c r="C37">
        <v>32</v>
      </c>
      <c r="D37">
        <v>2499</v>
      </c>
      <c r="E37">
        <v>36</v>
      </c>
      <c r="F37">
        <v>512</v>
      </c>
    </row>
    <row r="38" spans="1:7" x14ac:dyDescent="0.2">
      <c r="A38" t="s">
        <v>8</v>
      </c>
      <c r="B38">
        <v>18</v>
      </c>
      <c r="C38">
        <v>32</v>
      </c>
      <c r="D38">
        <f>D37+300</f>
        <v>2799</v>
      </c>
      <c r="E38">
        <v>36</v>
      </c>
      <c r="F38">
        <v>1024</v>
      </c>
      <c r="G38">
        <f>(D38-D37)/(F38-F37)*256</f>
        <v>150</v>
      </c>
    </row>
    <row r="39" spans="1:7" x14ac:dyDescent="0.2">
      <c r="A39" t="s">
        <v>8</v>
      </c>
      <c r="B39">
        <v>18</v>
      </c>
      <c r="C39">
        <v>32</v>
      </c>
      <c r="D39">
        <f>D37+800</f>
        <v>3299</v>
      </c>
      <c r="E39">
        <v>36</v>
      </c>
      <c r="F39">
        <f>1024*2</f>
        <v>2048</v>
      </c>
      <c r="G39">
        <f t="shared" ref="G39:G41" si="3">(D39-D38)/(F39-F38)*256</f>
        <v>125</v>
      </c>
    </row>
    <row r="40" spans="1:7" x14ac:dyDescent="0.2">
      <c r="A40" t="s">
        <v>8</v>
      </c>
      <c r="B40">
        <v>18</v>
      </c>
      <c r="C40">
        <v>32</v>
      </c>
      <c r="D40">
        <f>D37+1800</f>
        <v>4299</v>
      </c>
      <c r="E40">
        <v>36</v>
      </c>
      <c r="F40">
        <f>1024*4</f>
        <v>4096</v>
      </c>
      <c r="G40">
        <f t="shared" si="3"/>
        <v>125</v>
      </c>
    </row>
    <row r="41" spans="1:7" x14ac:dyDescent="0.2">
      <c r="A41" t="s">
        <v>8</v>
      </c>
      <c r="B41">
        <v>18</v>
      </c>
      <c r="C41">
        <v>32</v>
      </c>
      <c r="D41">
        <f>D37+3800</f>
        <v>6299</v>
      </c>
      <c r="E41">
        <v>36</v>
      </c>
      <c r="F41">
        <f>1024*8</f>
        <v>8192</v>
      </c>
      <c r="G41">
        <f t="shared" si="3"/>
        <v>125</v>
      </c>
    </row>
    <row r="43" spans="1:7" x14ac:dyDescent="0.2">
      <c r="A43" t="s">
        <v>0</v>
      </c>
      <c r="B43" t="s">
        <v>6</v>
      </c>
      <c r="C43" t="s">
        <v>7</v>
      </c>
      <c r="D43" t="s">
        <v>4</v>
      </c>
      <c r="E43" t="s">
        <v>2</v>
      </c>
      <c r="F43" t="s">
        <v>3</v>
      </c>
      <c r="G43" t="s">
        <v>12</v>
      </c>
    </row>
    <row r="44" spans="1:7" x14ac:dyDescent="0.2">
      <c r="A44" t="s">
        <v>8</v>
      </c>
      <c r="B44">
        <v>18</v>
      </c>
      <c r="C44">
        <v>40</v>
      </c>
      <c r="D44">
        <v>3099</v>
      </c>
      <c r="E44">
        <v>48</v>
      </c>
      <c r="F44">
        <v>512</v>
      </c>
    </row>
    <row r="45" spans="1:7" x14ac:dyDescent="0.2">
      <c r="A45" t="s">
        <v>8</v>
      </c>
      <c r="B45">
        <v>18</v>
      </c>
      <c r="C45">
        <v>40</v>
      </c>
      <c r="D45">
        <f>D44+400</f>
        <v>3499</v>
      </c>
      <c r="E45">
        <v>64</v>
      </c>
      <c r="F45">
        <v>512</v>
      </c>
      <c r="G45">
        <f>(D45-D44)/(E45-E44)*8</f>
        <v>200</v>
      </c>
    </row>
    <row r="46" spans="1:7" x14ac:dyDescent="0.2">
      <c r="A46" t="s">
        <v>8</v>
      </c>
      <c r="B46">
        <v>18</v>
      </c>
      <c r="C46">
        <v>40</v>
      </c>
      <c r="D46">
        <f>D44+2000</f>
        <v>5099</v>
      </c>
      <c r="E46">
        <v>128</v>
      </c>
      <c r="F46">
        <v>512</v>
      </c>
      <c r="G46">
        <f>(D46-D45)/(E46-E45)*8</f>
        <v>200</v>
      </c>
    </row>
    <row r="48" spans="1:7" x14ac:dyDescent="0.2">
      <c r="A48" t="s">
        <v>0</v>
      </c>
      <c r="B48" t="s">
        <v>6</v>
      </c>
      <c r="C48" t="s">
        <v>7</v>
      </c>
      <c r="D48" t="s">
        <v>4</v>
      </c>
      <c r="E48" t="s">
        <v>2</v>
      </c>
      <c r="F48" t="s">
        <v>3</v>
      </c>
      <c r="G48" t="s">
        <v>13</v>
      </c>
    </row>
    <row r="49" spans="1:7" x14ac:dyDescent="0.2">
      <c r="A49" t="s">
        <v>8</v>
      </c>
      <c r="B49">
        <v>18</v>
      </c>
      <c r="C49">
        <v>40</v>
      </c>
      <c r="D49">
        <v>3099</v>
      </c>
      <c r="E49">
        <v>48</v>
      </c>
      <c r="F49">
        <v>512</v>
      </c>
    </row>
    <row r="50" spans="1:7" x14ac:dyDescent="0.2">
      <c r="A50" t="s">
        <v>8</v>
      </c>
      <c r="B50">
        <v>18</v>
      </c>
      <c r="C50">
        <v>40</v>
      </c>
      <c r="D50">
        <f>D49+300</f>
        <v>3399</v>
      </c>
      <c r="E50">
        <v>48</v>
      </c>
      <c r="F50">
        <v>1024</v>
      </c>
      <c r="G50">
        <f>(D50-D49)/(F50-F49)*256</f>
        <v>150</v>
      </c>
    </row>
    <row r="51" spans="1:7" x14ac:dyDescent="0.2">
      <c r="A51" t="s">
        <v>8</v>
      </c>
      <c r="B51">
        <v>18</v>
      </c>
      <c r="C51">
        <v>40</v>
      </c>
      <c r="D51">
        <f>D49+800</f>
        <v>3899</v>
      </c>
      <c r="E51">
        <v>48</v>
      </c>
      <c r="F51">
        <f>1024*2</f>
        <v>2048</v>
      </c>
      <c r="G51">
        <f t="shared" ref="G51:G53" si="4">(D51-D50)/(F51-F50)*256</f>
        <v>125</v>
      </c>
    </row>
    <row r="52" spans="1:7" x14ac:dyDescent="0.2">
      <c r="A52" t="s">
        <v>8</v>
      </c>
      <c r="B52">
        <v>18</v>
      </c>
      <c r="C52">
        <v>40</v>
      </c>
      <c r="D52">
        <f>D49+1800</f>
        <v>4899</v>
      </c>
      <c r="E52">
        <v>48</v>
      </c>
      <c r="F52">
        <f>1024*4</f>
        <v>4096</v>
      </c>
      <c r="G52">
        <f t="shared" si="4"/>
        <v>125</v>
      </c>
    </row>
    <row r="53" spans="1:7" x14ac:dyDescent="0.2">
      <c r="A53" t="s">
        <v>8</v>
      </c>
      <c r="B53">
        <v>18</v>
      </c>
      <c r="C53">
        <v>40</v>
      </c>
      <c r="D53">
        <f>D49+3800</f>
        <v>6899</v>
      </c>
      <c r="E53">
        <v>48</v>
      </c>
      <c r="F53">
        <f>1024*8</f>
        <v>8192</v>
      </c>
      <c r="G53">
        <f t="shared" si="4"/>
        <v>125</v>
      </c>
    </row>
    <row r="55" spans="1:7" x14ac:dyDescent="0.2">
      <c r="A55" t="s">
        <v>0</v>
      </c>
      <c r="B55" t="s">
        <v>6</v>
      </c>
      <c r="C55" t="s">
        <v>7</v>
      </c>
      <c r="D55" t="s">
        <v>4</v>
      </c>
      <c r="E55" t="s">
        <v>2</v>
      </c>
      <c r="F55" t="s">
        <v>3</v>
      </c>
      <c r="G55" t="s">
        <v>12</v>
      </c>
    </row>
    <row r="56" spans="1:7" x14ac:dyDescent="0.2">
      <c r="A56" t="s">
        <v>9</v>
      </c>
      <c r="B56">
        <v>30</v>
      </c>
      <c r="C56">
        <v>64</v>
      </c>
      <c r="D56">
        <v>5499</v>
      </c>
      <c r="E56">
        <v>96</v>
      </c>
      <c r="F56">
        <v>1024</v>
      </c>
    </row>
    <row r="57" spans="1:7" x14ac:dyDescent="0.2">
      <c r="A57" t="s">
        <v>9</v>
      </c>
      <c r="B57">
        <v>30</v>
      </c>
      <c r="C57">
        <v>64</v>
      </c>
      <c r="D57">
        <f>D56+4000</f>
        <v>9499</v>
      </c>
      <c r="E57">
        <v>256</v>
      </c>
      <c r="F57">
        <v>1024</v>
      </c>
      <c r="G57">
        <f>(D57-D56)/(E57-E56)*8</f>
        <v>200</v>
      </c>
    </row>
    <row r="59" spans="1:7" x14ac:dyDescent="0.2">
      <c r="A59" t="s">
        <v>0</v>
      </c>
      <c r="B59" t="s">
        <v>6</v>
      </c>
      <c r="C59" t="s">
        <v>7</v>
      </c>
      <c r="D59" t="s">
        <v>4</v>
      </c>
      <c r="E59" t="s">
        <v>2</v>
      </c>
      <c r="F59" t="s">
        <v>3</v>
      </c>
      <c r="G59" t="s">
        <v>13</v>
      </c>
    </row>
    <row r="60" spans="1:7" x14ac:dyDescent="0.2">
      <c r="A60" t="s">
        <v>9</v>
      </c>
      <c r="B60">
        <v>30</v>
      </c>
      <c r="C60">
        <v>64</v>
      </c>
      <c r="D60">
        <v>5499</v>
      </c>
      <c r="E60">
        <v>96</v>
      </c>
      <c r="F60">
        <v>1024</v>
      </c>
    </row>
    <row r="61" spans="1:7" x14ac:dyDescent="0.2">
      <c r="A61" t="s">
        <v>9</v>
      </c>
      <c r="B61">
        <v>30</v>
      </c>
      <c r="C61">
        <v>64</v>
      </c>
      <c r="D61">
        <f>D60+500</f>
        <v>5999</v>
      </c>
      <c r="E61">
        <v>96</v>
      </c>
      <c r="F61">
        <f>1024*2</f>
        <v>2048</v>
      </c>
      <c r="G61">
        <f>(D61-D60)/(F61-F60)*256</f>
        <v>125</v>
      </c>
    </row>
    <row r="62" spans="1:7" x14ac:dyDescent="0.2">
      <c r="A62" t="s">
        <v>9</v>
      </c>
      <c r="B62">
        <v>30</v>
      </c>
      <c r="C62">
        <v>64</v>
      </c>
      <c r="D62">
        <f>D60+1500</f>
        <v>6999</v>
      </c>
      <c r="E62">
        <v>96</v>
      </c>
      <c r="F62">
        <f>1024*4</f>
        <v>4096</v>
      </c>
      <c r="G62">
        <f t="shared" ref="G62:G64" si="5">(D62-D61)/(F62-F61)*256</f>
        <v>125</v>
      </c>
    </row>
    <row r="63" spans="1:7" x14ac:dyDescent="0.2">
      <c r="A63" t="s">
        <v>9</v>
      </c>
      <c r="B63">
        <v>30</v>
      </c>
      <c r="C63">
        <v>64</v>
      </c>
      <c r="D63">
        <f>D60+3500</f>
        <v>8999</v>
      </c>
      <c r="E63">
        <v>96</v>
      </c>
      <c r="F63">
        <f>1024*8</f>
        <v>8192</v>
      </c>
      <c r="G63">
        <f t="shared" si="5"/>
        <v>125</v>
      </c>
    </row>
    <row r="64" spans="1:7" x14ac:dyDescent="0.2">
      <c r="A64" t="s">
        <v>9</v>
      </c>
      <c r="B64">
        <v>30</v>
      </c>
      <c r="C64">
        <v>64</v>
      </c>
      <c r="D64">
        <f>D60+7500</f>
        <v>12999</v>
      </c>
      <c r="E64">
        <v>96</v>
      </c>
      <c r="F64">
        <f>1024*16</f>
        <v>16384</v>
      </c>
      <c r="G64">
        <f t="shared" si="5"/>
        <v>125</v>
      </c>
    </row>
    <row r="66" spans="1:7" x14ac:dyDescent="0.2">
      <c r="A66" t="s">
        <v>0</v>
      </c>
      <c r="B66" t="s">
        <v>6</v>
      </c>
      <c r="C66" t="s">
        <v>7</v>
      </c>
      <c r="D66" t="s">
        <v>4</v>
      </c>
      <c r="E66" t="s">
        <v>2</v>
      </c>
      <c r="F66" t="s">
        <v>3</v>
      </c>
      <c r="G66" t="s">
        <v>12</v>
      </c>
    </row>
    <row r="67" spans="1:7" x14ac:dyDescent="0.2">
      <c r="A67" t="s">
        <v>9</v>
      </c>
      <c r="B67">
        <v>36</v>
      </c>
      <c r="C67">
        <v>80</v>
      </c>
      <c r="D67">
        <v>6799</v>
      </c>
      <c r="E67">
        <v>96</v>
      </c>
      <c r="F67">
        <v>1024</v>
      </c>
    </row>
    <row r="68" spans="1:7" x14ac:dyDescent="0.2">
      <c r="A68" t="s">
        <v>9</v>
      </c>
      <c r="B68">
        <v>36</v>
      </c>
      <c r="C68">
        <v>80</v>
      </c>
      <c r="D68">
        <f>D67+4000</f>
        <v>10799</v>
      </c>
      <c r="E68">
        <v>256</v>
      </c>
      <c r="F68">
        <v>1024</v>
      </c>
      <c r="G68">
        <f>(D68-D67)/(E68-E67)*8</f>
        <v>200</v>
      </c>
    </row>
    <row r="70" spans="1:7" x14ac:dyDescent="0.2">
      <c r="A70" t="s">
        <v>0</v>
      </c>
      <c r="B70" t="s">
        <v>6</v>
      </c>
      <c r="C70" t="s">
        <v>7</v>
      </c>
      <c r="D70" t="s">
        <v>4</v>
      </c>
      <c r="E70" t="s">
        <v>2</v>
      </c>
      <c r="F70" t="s">
        <v>3</v>
      </c>
      <c r="G70" t="s">
        <v>13</v>
      </c>
    </row>
    <row r="71" spans="1:7" x14ac:dyDescent="0.2">
      <c r="A71" t="s">
        <v>9</v>
      </c>
      <c r="B71">
        <v>36</v>
      </c>
      <c r="C71">
        <v>80</v>
      </c>
      <c r="D71">
        <v>6799</v>
      </c>
      <c r="E71">
        <v>96</v>
      </c>
      <c r="F71">
        <v>1024</v>
      </c>
    </row>
    <row r="72" spans="1:7" x14ac:dyDescent="0.2">
      <c r="A72" t="s">
        <v>9</v>
      </c>
      <c r="B72">
        <v>36</v>
      </c>
      <c r="C72">
        <v>80</v>
      </c>
      <c r="D72">
        <f>D71+500</f>
        <v>7299</v>
      </c>
      <c r="E72">
        <v>96</v>
      </c>
      <c r="F72">
        <f>1024*2</f>
        <v>2048</v>
      </c>
      <c r="G72">
        <f>(D72-D71)/(F72-F71)*256</f>
        <v>125</v>
      </c>
    </row>
    <row r="73" spans="1:7" x14ac:dyDescent="0.2">
      <c r="A73" t="s">
        <v>9</v>
      </c>
      <c r="B73">
        <v>36</v>
      </c>
      <c r="C73">
        <v>80</v>
      </c>
      <c r="D73">
        <f>D71+1500</f>
        <v>8299</v>
      </c>
      <c r="E73">
        <v>96</v>
      </c>
      <c r="F73">
        <f>1024*4</f>
        <v>4096</v>
      </c>
      <c r="G73">
        <f t="shared" ref="G73:G75" si="6">(D73-D72)/(F73-F72)*256</f>
        <v>125</v>
      </c>
    </row>
    <row r="74" spans="1:7" x14ac:dyDescent="0.2">
      <c r="A74" t="s">
        <v>9</v>
      </c>
      <c r="B74">
        <v>36</v>
      </c>
      <c r="C74">
        <v>80</v>
      </c>
      <c r="D74">
        <f>D71+3500</f>
        <v>10299</v>
      </c>
      <c r="E74">
        <v>96</v>
      </c>
      <c r="F74">
        <f>1024*8</f>
        <v>8192</v>
      </c>
      <c r="G74">
        <f t="shared" si="6"/>
        <v>125</v>
      </c>
    </row>
    <row r="75" spans="1:7" x14ac:dyDescent="0.2">
      <c r="A75" t="s">
        <v>9</v>
      </c>
      <c r="B75">
        <v>36</v>
      </c>
      <c r="C75">
        <v>80</v>
      </c>
      <c r="D75">
        <f>D71+7500</f>
        <v>14299</v>
      </c>
      <c r="E75">
        <v>96</v>
      </c>
      <c r="F75">
        <f>1024*16</f>
        <v>16384</v>
      </c>
      <c r="G75">
        <f t="shared" si="6"/>
        <v>125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4D53-9DF8-A645-BBC4-C16A5CE782D5}">
  <dimension ref="A1:G27"/>
  <sheetViews>
    <sheetView zoomScale="160" zoomScaleNormal="160" workbookViewId="0">
      <selection activeCell="G25" sqref="G25"/>
    </sheetView>
  </sheetViews>
  <sheetFormatPr baseColWidth="10" defaultRowHeight="16" x14ac:dyDescent="0.2"/>
  <cols>
    <col min="1" max="1" width="8" bestFit="1" customWidth="1"/>
    <col min="2" max="3" width="9.5" bestFit="1" customWidth="1"/>
    <col min="4" max="4" width="7.83203125" bestFit="1" customWidth="1"/>
    <col min="5" max="6" width="9" bestFit="1" customWidth="1"/>
    <col min="7" max="7" width="16.33203125" bestFit="1" customWidth="1"/>
  </cols>
  <sheetData>
    <row r="1" spans="1:7" x14ac:dyDescent="0.2">
      <c r="A1" t="s">
        <v>0</v>
      </c>
      <c r="B1" t="s">
        <v>6</v>
      </c>
      <c r="C1" t="s">
        <v>7</v>
      </c>
      <c r="D1" t="s">
        <v>4</v>
      </c>
      <c r="E1" t="s">
        <v>2</v>
      </c>
      <c r="F1" t="s">
        <v>3</v>
      </c>
      <c r="G1" t="s">
        <v>12</v>
      </c>
    </row>
    <row r="2" spans="1:7" x14ac:dyDescent="0.2">
      <c r="A2" t="s">
        <v>1</v>
      </c>
      <c r="B2">
        <v>12</v>
      </c>
      <c r="C2">
        <v>12</v>
      </c>
      <c r="D2">
        <v>899</v>
      </c>
      <c r="E2">
        <v>16</v>
      </c>
      <c r="F2">
        <v>256</v>
      </c>
    </row>
    <row r="3" spans="1:7" x14ac:dyDescent="0.2">
      <c r="A3" t="s">
        <v>1</v>
      </c>
      <c r="B3">
        <v>12</v>
      </c>
      <c r="C3">
        <v>12</v>
      </c>
      <c r="D3">
        <v>1099</v>
      </c>
      <c r="E3">
        <v>24</v>
      </c>
      <c r="F3">
        <v>256</v>
      </c>
      <c r="G3">
        <f>(D3-D2)/(E3-E2)*8</f>
        <v>200</v>
      </c>
    </row>
    <row r="4" spans="1:7" x14ac:dyDescent="0.2">
      <c r="A4" t="s">
        <v>1</v>
      </c>
      <c r="B4">
        <v>12</v>
      </c>
      <c r="C4">
        <v>12</v>
      </c>
      <c r="D4">
        <v>1299</v>
      </c>
      <c r="E4">
        <v>32</v>
      </c>
      <c r="F4">
        <v>256</v>
      </c>
      <c r="G4">
        <f>(D4-D3)/(E4-E3)*8</f>
        <v>200</v>
      </c>
    </row>
    <row r="6" spans="1:7" x14ac:dyDescent="0.2">
      <c r="A6" t="s">
        <v>0</v>
      </c>
      <c r="B6" t="s">
        <v>6</v>
      </c>
      <c r="C6" t="s">
        <v>7</v>
      </c>
      <c r="D6" t="s">
        <v>4</v>
      </c>
      <c r="E6" t="s">
        <v>2</v>
      </c>
      <c r="F6" t="s">
        <v>3</v>
      </c>
      <c r="G6" t="s">
        <v>12</v>
      </c>
    </row>
    <row r="7" spans="1:7" x14ac:dyDescent="0.2">
      <c r="A7" t="s">
        <v>5</v>
      </c>
      <c r="B7">
        <v>15</v>
      </c>
      <c r="C7">
        <v>16</v>
      </c>
      <c r="D7">
        <v>1699</v>
      </c>
      <c r="E7">
        <v>24</v>
      </c>
      <c r="F7">
        <v>512</v>
      </c>
    </row>
    <row r="8" spans="1:7" x14ac:dyDescent="0.2">
      <c r="A8" t="s">
        <v>5</v>
      </c>
      <c r="B8">
        <v>15</v>
      </c>
      <c r="C8">
        <v>16</v>
      </c>
      <c r="D8">
        <f>D7+600</f>
        <v>2299</v>
      </c>
      <c r="E8">
        <v>48</v>
      </c>
      <c r="F8">
        <v>512</v>
      </c>
      <c r="G8">
        <f>(D8-D7)/(E8-E7)*8</f>
        <v>200</v>
      </c>
    </row>
    <row r="9" spans="1:7" x14ac:dyDescent="0.2">
      <c r="A9" t="s">
        <v>5</v>
      </c>
      <c r="B9">
        <v>15</v>
      </c>
      <c r="C9">
        <v>16</v>
      </c>
      <c r="D9">
        <f>D7+1000</f>
        <v>2699</v>
      </c>
      <c r="E9">
        <v>64</v>
      </c>
      <c r="F9">
        <v>512</v>
      </c>
      <c r="G9">
        <f>(D9-D8)/(E9-E8)*8</f>
        <v>200</v>
      </c>
    </row>
    <row r="11" spans="1:7" x14ac:dyDescent="0.2">
      <c r="A11" t="s">
        <v>0</v>
      </c>
      <c r="B11" t="s">
        <v>6</v>
      </c>
      <c r="C11" t="s">
        <v>7</v>
      </c>
      <c r="D11" t="s">
        <v>4</v>
      </c>
      <c r="E11" t="s">
        <v>2</v>
      </c>
      <c r="F11" t="s">
        <v>3</v>
      </c>
      <c r="G11" t="s">
        <v>12</v>
      </c>
    </row>
    <row r="12" spans="1:7" x14ac:dyDescent="0.2">
      <c r="A12" t="s">
        <v>5</v>
      </c>
      <c r="B12">
        <v>18</v>
      </c>
      <c r="C12">
        <v>20</v>
      </c>
      <c r="D12">
        <v>1899</v>
      </c>
      <c r="E12">
        <v>24</v>
      </c>
      <c r="F12">
        <v>512</v>
      </c>
    </row>
    <row r="13" spans="1:7" x14ac:dyDescent="0.2">
      <c r="A13" t="s">
        <v>5</v>
      </c>
      <c r="B13">
        <v>18</v>
      </c>
      <c r="C13">
        <v>20</v>
      </c>
      <c r="D13">
        <f>D12+600</f>
        <v>2499</v>
      </c>
      <c r="E13">
        <v>48</v>
      </c>
      <c r="F13">
        <v>512</v>
      </c>
      <c r="G13">
        <f>(D13-D12)/(E13-E12)*8</f>
        <v>200</v>
      </c>
    </row>
    <row r="14" spans="1:7" x14ac:dyDescent="0.2">
      <c r="A14" t="s">
        <v>5</v>
      </c>
      <c r="B14">
        <v>18</v>
      </c>
      <c r="C14">
        <v>20</v>
      </c>
      <c r="D14">
        <f>D12+1000</f>
        <v>2899</v>
      </c>
      <c r="E14">
        <v>64</v>
      </c>
      <c r="F14">
        <v>512</v>
      </c>
      <c r="G14">
        <f>(D14-D13)/(E14-E13)*8</f>
        <v>200</v>
      </c>
    </row>
    <row r="16" spans="1:7" x14ac:dyDescent="0.2">
      <c r="A16" t="s">
        <v>0</v>
      </c>
      <c r="B16" t="s">
        <v>6</v>
      </c>
      <c r="C16" t="s">
        <v>7</v>
      </c>
      <c r="D16" t="s">
        <v>4</v>
      </c>
      <c r="E16" t="s">
        <v>2</v>
      </c>
      <c r="F16" t="s">
        <v>3</v>
      </c>
      <c r="G16" t="s">
        <v>12</v>
      </c>
    </row>
    <row r="17" spans="1:7" x14ac:dyDescent="0.2">
      <c r="A17" t="s">
        <v>8</v>
      </c>
      <c r="B17">
        <v>18</v>
      </c>
      <c r="C17">
        <v>40</v>
      </c>
      <c r="D17">
        <v>3099</v>
      </c>
      <c r="E17">
        <v>48</v>
      </c>
      <c r="F17">
        <v>512</v>
      </c>
    </row>
    <row r="18" spans="1:7" x14ac:dyDescent="0.2">
      <c r="A18" t="s">
        <v>8</v>
      </c>
      <c r="B18">
        <v>18</v>
      </c>
      <c r="C18">
        <v>40</v>
      </c>
      <c r="D18">
        <f>D17+400</f>
        <v>3499</v>
      </c>
      <c r="E18">
        <v>64</v>
      </c>
      <c r="F18">
        <v>512</v>
      </c>
      <c r="G18">
        <f>(D18-D17)/(E18-E17)*8</f>
        <v>200</v>
      </c>
    </row>
    <row r="19" spans="1:7" x14ac:dyDescent="0.2">
      <c r="A19" t="s">
        <v>8</v>
      </c>
      <c r="B19">
        <v>18</v>
      </c>
      <c r="C19">
        <v>40</v>
      </c>
      <c r="D19">
        <f>D17+2000</f>
        <v>5099</v>
      </c>
      <c r="E19">
        <v>128</v>
      </c>
      <c r="F19">
        <v>512</v>
      </c>
      <c r="G19">
        <f>(D19-D18)/(E19-E18)*8</f>
        <v>200</v>
      </c>
    </row>
    <row r="21" spans="1:7" x14ac:dyDescent="0.2">
      <c r="A21" t="s">
        <v>0</v>
      </c>
      <c r="B21" t="s">
        <v>6</v>
      </c>
      <c r="C21" t="s">
        <v>7</v>
      </c>
      <c r="D21" t="s">
        <v>4</v>
      </c>
      <c r="E21" t="s">
        <v>2</v>
      </c>
      <c r="F21" t="s">
        <v>3</v>
      </c>
      <c r="G21" t="s">
        <v>12</v>
      </c>
    </row>
    <row r="22" spans="1:7" x14ac:dyDescent="0.2">
      <c r="A22" t="s">
        <v>9</v>
      </c>
      <c r="B22">
        <v>30</v>
      </c>
      <c r="C22">
        <v>64</v>
      </c>
      <c r="D22">
        <v>5499</v>
      </c>
      <c r="E22">
        <v>96</v>
      </c>
      <c r="F22">
        <v>1024</v>
      </c>
    </row>
    <row r="23" spans="1:7" x14ac:dyDescent="0.2">
      <c r="A23" t="s">
        <v>9</v>
      </c>
      <c r="B23">
        <v>30</v>
      </c>
      <c r="C23">
        <v>64</v>
      </c>
      <c r="D23">
        <f>D22+4000</f>
        <v>9499</v>
      </c>
      <c r="E23">
        <v>256</v>
      </c>
      <c r="F23">
        <v>1024</v>
      </c>
      <c r="G23">
        <f>(D23-D22)/(E23-E22)*8</f>
        <v>200</v>
      </c>
    </row>
    <row r="25" spans="1:7" x14ac:dyDescent="0.2">
      <c r="A25" t="s">
        <v>0</v>
      </c>
      <c r="B25" t="s">
        <v>6</v>
      </c>
      <c r="C25" t="s">
        <v>7</v>
      </c>
      <c r="D25" t="s">
        <v>4</v>
      </c>
      <c r="E25" t="s">
        <v>2</v>
      </c>
      <c r="F25" t="s">
        <v>3</v>
      </c>
      <c r="G25" t="s">
        <v>12</v>
      </c>
    </row>
    <row r="26" spans="1:7" x14ac:dyDescent="0.2">
      <c r="A26" t="s">
        <v>9</v>
      </c>
      <c r="B26">
        <v>36</v>
      </c>
      <c r="C26">
        <v>80</v>
      </c>
      <c r="D26">
        <v>6799</v>
      </c>
      <c r="E26">
        <v>96</v>
      </c>
      <c r="F26">
        <v>1024</v>
      </c>
    </row>
    <row r="27" spans="1:7" x14ac:dyDescent="0.2">
      <c r="A27" t="s">
        <v>9</v>
      </c>
      <c r="B27">
        <v>36</v>
      </c>
      <c r="C27">
        <v>80</v>
      </c>
      <c r="D27">
        <f>D26+4000</f>
        <v>10799</v>
      </c>
      <c r="E27">
        <v>256</v>
      </c>
      <c r="F27">
        <v>1024</v>
      </c>
      <c r="G27">
        <f>(D27-D26)/(E27-E26)*8</f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021D-4311-6C4E-9558-972B2A541334}">
  <dimension ref="A1:G47"/>
  <sheetViews>
    <sheetView zoomScale="140" zoomScaleNormal="140" workbookViewId="0">
      <selection activeCell="G42" sqref="G42"/>
    </sheetView>
  </sheetViews>
  <sheetFormatPr baseColWidth="10" defaultRowHeight="16" x14ac:dyDescent="0.2"/>
  <cols>
    <col min="1" max="1" width="8" bestFit="1" customWidth="1"/>
    <col min="2" max="3" width="9.5" bestFit="1" customWidth="1"/>
    <col min="4" max="4" width="7.83203125" bestFit="1" customWidth="1"/>
    <col min="5" max="6" width="9" bestFit="1" customWidth="1"/>
    <col min="7" max="7" width="18.33203125" bestFit="1" customWidth="1"/>
  </cols>
  <sheetData>
    <row r="1" spans="1:7" x14ac:dyDescent="0.2">
      <c r="A1" t="s">
        <v>0</v>
      </c>
      <c r="B1" t="s">
        <v>6</v>
      </c>
      <c r="C1" t="s">
        <v>7</v>
      </c>
      <c r="D1" t="s">
        <v>4</v>
      </c>
      <c r="E1" t="s">
        <v>2</v>
      </c>
      <c r="F1" t="s">
        <v>3</v>
      </c>
      <c r="G1" t="s">
        <v>13</v>
      </c>
    </row>
    <row r="2" spans="1:7" x14ac:dyDescent="0.2">
      <c r="A2" t="s">
        <v>1</v>
      </c>
      <c r="B2">
        <v>12</v>
      </c>
      <c r="C2">
        <v>12</v>
      </c>
      <c r="D2">
        <v>899</v>
      </c>
      <c r="E2">
        <v>16</v>
      </c>
      <c r="F2">
        <v>256</v>
      </c>
    </row>
    <row r="3" spans="1:7" x14ac:dyDescent="0.2">
      <c r="A3" t="s">
        <v>1</v>
      </c>
      <c r="B3">
        <v>12</v>
      </c>
      <c r="C3">
        <v>12</v>
      </c>
      <c r="D3">
        <v>1099</v>
      </c>
      <c r="E3">
        <v>16</v>
      </c>
      <c r="F3">
        <v>512</v>
      </c>
      <c r="G3">
        <f>(D3-D2)/(F3-F2)*256</f>
        <v>200</v>
      </c>
    </row>
    <row r="4" spans="1:7" x14ac:dyDescent="0.2">
      <c r="A4" t="s">
        <v>1</v>
      </c>
      <c r="B4">
        <v>12</v>
      </c>
      <c r="C4">
        <v>12</v>
      </c>
      <c r="D4">
        <f>899+500</f>
        <v>1399</v>
      </c>
      <c r="E4">
        <v>16</v>
      </c>
      <c r="F4">
        <v>1024</v>
      </c>
      <c r="G4">
        <f t="shared" ref="G4:G5" si="0">(D4-D3)/(F4-F3)*256</f>
        <v>150</v>
      </c>
    </row>
    <row r="5" spans="1:7" x14ac:dyDescent="0.2">
      <c r="A5" t="s">
        <v>1</v>
      </c>
      <c r="B5">
        <v>12</v>
      </c>
      <c r="C5">
        <v>12</v>
      </c>
      <c r="D5">
        <f>899+1000</f>
        <v>1899</v>
      </c>
      <c r="E5">
        <v>16</v>
      </c>
      <c r="F5">
        <v>2048</v>
      </c>
      <c r="G5">
        <f t="shared" si="0"/>
        <v>125</v>
      </c>
    </row>
    <row r="7" spans="1:7" x14ac:dyDescent="0.2">
      <c r="A7" t="s">
        <v>0</v>
      </c>
      <c r="B7" t="s">
        <v>6</v>
      </c>
      <c r="C7" t="s">
        <v>7</v>
      </c>
      <c r="D7" t="s">
        <v>4</v>
      </c>
      <c r="E7" t="s">
        <v>2</v>
      </c>
      <c r="F7" t="s">
        <v>3</v>
      </c>
      <c r="G7" t="s">
        <v>13</v>
      </c>
    </row>
    <row r="8" spans="1:7" x14ac:dyDescent="0.2">
      <c r="A8" t="s">
        <v>5</v>
      </c>
      <c r="B8">
        <v>15</v>
      </c>
      <c r="C8">
        <v>16</v>
      </c>
      <c r="D8">
        <v>1699</v>
      </c>
      <c r="E8">
        <v>24</v>
      </c>
      <c r="F8">
        <v>512</v>
      </c>
    </row>
    <row r="9" spans="1:7" x14ac:dyDescent="0.2">
      <c r="A9" t="s">
        <v>5</v>
      </c>
      <c r="B9">
        <v>15</v>
      </c>
      <c r="C9">
        <v>16</v>
      </c>
      <c r="D9">
        <f>D8+300</f>
        <v>1999</v>
      </c>
      <c r="E9">
        <v>24</v>
      </c>
      <c r="F9">
        <v>1024</v>
      </c>
      <c r="G9">
        <f>(D9-D8)/(F9-F8)*256</f>
        <v>150</v>
      </c>
    </row>
    <row r="10" spans="1:7" x14ac:dyDescent="0.2">
      <c r="A10" t="s">
        <v>5</v>
      </c>
      <c r="B10">
        <v>15</v>
      </c>
      <c r="C10">
        <v>16</v>
      </c>
      <c r="D10">
        <f>D8+800</f>
        <v>2499</v>
      </c>
      <c r="E10">
        <v>24</v>
      </c>
      <c r="F10">
        <f>1024*2</f>
        <v>2048</v>
      </c>
      <c r="G10">
        <f t="shared" ref="G10:G12" si="1">(D10-D9)/(F10-F9)*256</f>
        <v>125</v>
      </c>
    </row>
    <row r="11" spans="1:7" x14ac:dyDescent="0.2">
      <c r="A11" t="s">
        <v>5</v>
      </c>
      <c r="B11">
        <v>15</v>
      </c>
      <c r="C11">
        <v>16</v>
      </c>
      <c r="D11">
        <f>D8+1800</f>
        <v>3499</v>
      </c>
      <c r="E11">
        <v>24</v>
      </c>
      <c r="F11">
        <f>1024*4</f>
        <v>4096</v>
      </c>
      <c r="G11">
        <f t="shared" si="1"/>
        <v>125</v>
      </c>
    </row>
    <row r="12" spans="1:7" x14ac:dyDescent="0.2">
      <c r="A12" t="s">
        <v>5</v>
      </c>
      <c r="B12">
        <v>15</v>
      </c>
      <c r="C12">
        <v>16</v>
      </c>
      <c r="D12">
        <f>D8+3800</f>
        <v>5499</v>
      </c>
      <c r="E12">
        <v>24</v>
      </c>
      <c r="F12">
        <f>1024*8</f>
        <v>8192</v>
      </c>
      <c r="G12">
        <f t="shared" si="1"/>
        <v>125</v>
      </c>
    </row>
    <row r="14" spans="1:7" x14ac:dyDescent="0.2">
      <c r="A14" s="1" t="s">
        <v>0</v>
      </c>
      <c r="B14" s="1" t="s">
        <v>6</v>
      </c>
      <c r="C14" s="1" t="s">
        <v>7</v>
      </c>
      <c r="D14" s="1" t="s">
        <v>4</v>
      </c>
      <c r="E14" s="1" t="s">
        <v>2</v>
      </c>
      <c r="F14" s="1" t="s">
        <v>3</v>
      </c>
      <c r="G14" t="s">
        <v>13</v>
      </c>
    </row>
    <row r="15" spans="1:7" x14ac:dyDescent="0.2">
      <c r="A15" s="1" t="s">
        <v>5</v>
      </c>
      <c r="B15">
        <v>18</v>
      </c>
      <c r="C15">
        <v>20</v>
      </c>
      <c r="D15">
        <v>1899</v>
      </c>
      <c r="E15" s="1">
        <v>24</v>
      </c>
      <c r="F15" s="1">
        <v>512</v>
      </c>
      <c r="G15" s="1"/>
    </row>
    <row r="16" spans="1:7" x14ac:dyDescent="0.2">
      <c r="A16" s="1" t="s">
        <v>5</v>
      </c>
      <c r="B16">
        <v>18</v>
      </c>
      <c r="C16">
        <v>20</v>
      </c>
      <c r="D16">
        <f>D15+300</f>
        <v>2199</v>
      </c>
      <c r="E16" s="1">
        <v>24</v>
      </c>
      <c r="F16" s="1">
        <v>1024</v>
      </c>
      <c r="G16" s="1">
        <v>150</v>
      </c>
    </row>
    <row r="17" spans="1:7" x14ac:dyDescent="0.2">
      <c r="A17" s="1" t="s">
        <v>5</v>
      </c>
      <c r="B17">
        <v>18</v>
      </c>
      <c r="C17">
        <v>20</v>
      </c>
      <c r="D17">
        <f>D15+800</f>
        <v>2699</v>
      </c>
      <c r="E17" s="1">
        <v>24</v>
      </c>
      <c r="F17" s="1">
        <v>2048</v>
      </c>
      <c r="G17" s="1">
        <v>125</v>
      </c>
    </row>
    <row r="18" spans="1:7" x14ac:dyDescent="0.2">
      <c r="A18" s="1" t="s">
        <v>5</v>
      </c>
      <c r="B18">
        <v>18</v>
      </c>
      <c r="C18">
        <v>20</v>
      </c>
      <c r="D18">
        <f>D15+1800</f>
        <v>3699</v>
      </c>
      <c r="E18" s="1">
        <v>24</v>
      </c>
      <c r="F18" s="1">
        <v>4096</v>
      </c>
      <c r="G18" s="1">
        <v>125</v>
      </c>
    </row>
    <row r="19" spans="1:7" x14ac:dyDescent="0.2">
      <c r="A19" s="1" t="s">
        <v>5</v>
      </c>
      <c r="B19">
        <v>18</v>
      </c>
      <c r="C19">
        <v>20</v>
      </c>
      <c r="D19">
        <f>D15+3800</f>
        <v>5699</v>
      </c>
      <c r="E19" s="1">
        <v>24</v>
      </c>
      <c r="F19" s="1">
        <v>8192</v>
      </c>
      <c r="G19" s="1">
        <v>125</v>
      </c>
    </row>
    <row r="20" spans="1:7" x14ac:dyDescent="0.2">
      <c r="A20" s="1"/>
      <c r="B20" s="1"/>
      <c r="C20" s="1"/>
      <c r="D20" s="1"/>
      <c r="E20" s="1"/>
      <c r="F20" s="1"/>
      <c r="G20" s="1"/>
    </row>
    <row r="21" spans="1:7" x14ac:dyDescent="0.2">
      <c r="A21" s="1" t="s">
        <v>0</v>
      </c>
      <c r="B21" s="1" t="s">
        <v>6</v>
      </c>
      <c r="C21" s="1" t="s">
        <v>7</v>
      </c>
      <c r="D21" s="1" t="s">
        <v>4</v>
      </c>
      <c r="E21" s="1" t="s">
        <v>2</v>
      </c>
      <c r="F21" s="1" t="s">
        <v>3</v>
      </c>
      <c r="G21" t="s">
        <v>13</v>
      </c>
    </row>
    <row r="22" spans="1:7" x14ac:dyDescent="0.2">
      <c r="A22" s="1" t="s">
        <v>8</v>
      </c>
      <c r="B22" s="1">
        <v>18</v>
      </c>
      <c r="C22" s="1">
        <v>32</v>
      </c>
      <c r="D22" s="1">
        <v>2499</v>
      </c>
      <c r="E22" s="1">
        <v>36</v>
      </c>
      <c r="F22" s="1">
        <v>512</v>
      </c>
      <c r="G22" s="1"/>
    </row>
    <row r="23" spans="1:7" x14ac:dyDescent="0.2">
      <c r="A23" s="1" t="s">
        <v>8</v>
      </c>
      <c r="B23" s="1">
        <v>18</v>
      </c>
      <c r="C23" s="1">
        <v>32</v>
      </c>
      <c r="D23" s="1">
        <v>2799</v>
      </c>
      <c r="E23" s="1">
        <v>36</v>
      </c>
      <c r="F23" s="1">
        <v>1024</v>
      </c>
      <c r="G23" s="1">
        <v>150</v>
      </c>
    </row>
    <row r="24" spans="1:7" x14ac:dyDescent="0.2">
      <c r="A24" s="1" t="s">
        <v>8</v>
      </c>
      <c r="B24" s="1">
        <v>18</v>
      </c>
      <c r="C24" s="1">
        <v>32</v>
      </c>
      <c r="D24" s="1">
        <v>3299</v>
      </c>
      <c r="E24" s="1">
        <v>36</v>
      </c>
      <c r="F24" s="1">
        <v>2048</v>
      </c>
      <c r="G24" s="1">
        <v>125</v>
      </c>
    </row>
    <row r="25" spans="1:7" x14ac:dyDescent="0.2">
      <c r="A25" s="1" t="s">
        <v>8</v>
      </c>
      <c r="B25" s="1">
        <v>18</v>
      </c>
      <c r="C25" s="1">
        <v>32</v>
      </c>
      <c r="D25" s="1">
        <v>4299</v>
      </c>
      <c r="E25" s="1">
        <v>36</v>
      </c>
      <c r="F25" s="1">
        <v>4096</v>
      </c>
      <c r="G25" s="1">
        <v>125</v>
      </c>
    </row>
    <row r="26" spans="1:7" x14ac:dyDescent="0.2">
      <c r="A26" s="1" t="s">
        <v>8</v>
      </c>
      <c r="B26" s="1">
        <v>18</v>
      </c>
      <c r="C26" s="1">
        <v>32</v>
      </c>
      <c r="D26" s="1">
        <v>6299</v>
      </c>
      <c r="E26" s="1">
        <v>36</v>
      </c>
      <c r="F26" s="1">
        <v>8192</v>
      </c>
      <c r="G26" s="1">
        <v>125</v>
      </c>
    </row>
    <row r="27" spans="1:7" x14ac:dyDescent="0.2">
      <c r="E27" s="1"/>
    </row>
    <row r="28" spans="1:7" x14ac:dyDescent="0.2">
      <c r="A28" t="s">
        <v>0</v>
      </c>
      <c r="B28" t="s">
        <v>6</v>
      </c>
      <c r="C28" t="s">
        <v>7</v>
      </c>
      <c r="D28" t="s">
        <v>4</v>
      </c>
      <c r="E28" t="s">
        <v>2</v>
      </c>
      <c r="F28" t="s">
        <v>3</v>
      </c>
      <c r="G28" t="s">
        <v>13</v>
      </c>
    </row>
    <row r="29" spans="1:7" x14ac:dyDescent="0.2">
      <c r="A29" t="s">
        <v>8</v>
      </c>
      <c r="B29">
        <v>18</v>
      </c>
      <c r="C29">
        <v>40</v>
      </c>
      <c r="D29">
        <v>3099</v>
      </c>
      <c r="E29">
        <v>48</v>
      </c>
      <c r="F29">
        <v>512</v>
      </c>
    </row>
    <row r="30" spans="1:7" x14ac:dyDescent="0.2">
      <c r="A30" t="s">
        <v>8</v>
      </c>
      <c r="B30">
        <v>18</v>
      </c>
      <c r="C30">
        <v>40</v>
      </c>
      <c r="D30">
        <f>D29+300</f>
        <v>3399</v>
      </c>
      <c r="E30">
        <v>48</v>
      </c>
      <c r="F30">
        <v>1024</v>
      </c>
      <c r="G30">
        <f>(D30-D29)/(F30-F29)*256</f>
        <v>150</v>
      </c>
    </row>
    <row r="31" spans="1:7" x14ac:dyDescent="0.2">
      <c r="A31" t="s">
        <v>8</v>
      </c>
      <c r="B31">
        <v>18</v>
      </c>
      <c r="C31">
        <v>40</v>
      </c>
      <c r="D31">
        <f>D29+800</f>
        <v>3899</v>
      </c>
      <c r="E31">
        <v>48</v>
      </c>
      <c r="F31">
        <f>1024*2</f>
        <v>2048</v>
      </c>
      <c r="G31">
        <f t="shared" ref="G31:G33" si="2">(D31-D30)/(F31-F30)*256</f>
        <v>125</v>
      </c>
    </row>
    <row r="32" spans="1:7" x14ac:dyDescent="0.2">
      <c r="A32" t="s">
        <v>8</v>
      </c>
      <c r="B32">
        <v>18</v>
      </c>
      <c r="C32">
        <v>40</v>
      </c>
      <c r="D32">
        <f>D29+1800</f>
        <v>4899</v>
      </c>
      <c r="E32">
        <v>48</v>
      </c>
      <c r="F32">
        <f>1024*4</f>
        <v>4096</v>
      </c>
      <c r="G32">
        <f t="shared" si="2"/>
        <v>125</v>
      </c>
    </row>
    <row r="33" spans="1:7" x14ac:dyDescent="0.2">
      <c r="A33" t="s">
        <v>8</v>
      </c>
      <c r="B33">
        <v>18</v>
      </c>
      <c r="C33">
        <v>40</v>
      </c>
      <c r="D33">
        <f>D29+3800</f>
        <v>6899</v>
      </c>
      <c r="E33">
        <v>48</v>
      </c>
      <c r="F33">
        <f>1024*8</f>
        <v>8192</v>
      </c>
      <c r="G33">
        <f t="shared" si="2"/>
        <v>125</v>
      </c>
    </row>
    <row r="35" spans="1:7" x14ac:dyDescent="0.2">
      <c r="A35" t="s">
        <v>0</v>
      </c>
      <c r="B35" t="s">
        <v>6</v>
      </c>
      <c r="C35" t="s">
        <v>7</v>
      </c>
      <c r="D35" t="s">
        <v>4</v>
      </c>
      <c r="E35" t="s">
        <v>2</v>
      </c>
      <c r="F35" t="s">
        <v>3</v>
      </c>
      <c r="G35" t="s">
        <v>13</v>
      </c>
    </row>
    <row r="36" spans="1:7" x14ac:dyDescent="0.2">
      <c r="A36" t="s">
        <v>9</v>
      </c>
      <c r="B36">
        <v>30</v>
      </c>
      <c r="C36">
        <v>64</v>
      </c>
      <c r="D36">
        <v>5499</v>
      </c>
      <c r="E36">
        <v>96</v>
      </c>
      <c r="F36">
        <v>1024</v>
      </c>
    </row>
    <row r="37" spans="1:7" x14ac:dyDescent="0.2">
      <c r="A37" t="s">
        <v>9</v>
      </c>
      <c r="B37">
        <v>30</v>
      </c>
      <c r="C37">
        <v>64</v>
      </c>
      <c r="D37">
        <f>D36+500</f>
        <v>5999</v>
      </c>
      <c r="E37">
        <v>96</v>
      </c>
      <c r="F37">
        <f>1024*2</f>
        <v>2048</v>
      </c>
      <c r="G37">
        <f>(D37-D36)/(F37-F36)*256</f>
        <v>125</v>
      </c>
    </row>
    <row r="38" spans="1:7" x14ac:dyDescent="0.2">
      <c r="A38" t="s">
        <v>9</v>
      </c>
      <c r="B38">
        <v>30</v>
      </c>
      <c r="C38">
        <v>64</v>
      </c>
      <c r="D38">
        <f>D36+1500</f>
        <v>6999</v>
      </c>
      <c r="E38">
        <v>96</v>
      </c>
      <c r="F38">
        <f>1024*4</f>
        <v>4096</v>
      </c>
      <c r="G38">
        <f t="shared" ref="G38:G40" si="3">(D38-D37)/(F38-F37)*256</f>
        <v>125</v>
      </c>
    </row>
    <row r="39" spans="1:7" x14ac:dyDescent="0.2">
      <c r="A39" t="s">
        <v>9</v>
      </c>
      <c r="B39">
        <v>30</v>
      </c>
      <c r="C39">
        <v>64</v>
      </c>
      <c r="D39">
        <f>D36+3500</f>
        <v>8999</v>
      </c>
      <c r="E39">
        <v>96</v>
      </c>
      <c r="F39">
        <f>1024*8</f>
        <v>8192</v>
      </c>
      <c r="G39">
        <f t="shared" si="3"/>
        <v>125</v>
      </c>
    </row>
    <row r="40" spans="1:7" x14ac:dyDescent="0.2">
      <c r="A40" t="s">
        <v>9</v>
      </c>
      <c r="B40">
        <v>30</v>
      </c>
      <c r="C40">
        <v>64</v>
      </c>
      <c r="D40">
        <f>D36+7500</f>
        <v>12999</v>
      </c>
      <c r="E40">
        <v>96</v>
      </c>
      <c r="F40">
        <f>1024*16</f>
        <v>16384</v>
      </c>
      <c r="G40">
        <f t="shared" si="3"/>
        <v>125</v>
      </c>
    </row>
    <row r="42" spans="1:7" x14ac:dyDescent="0.2">
      <c r="A42" t="s">
        <v>0</v>
      </c>
      <c r="B42" t="s">
        <v>6</v>
      </c>
      <c r="C42" t="s">
        <v>7</v>
      </c>
      <c r="D42" t="s">
        <v>4</v>
      </c>
      <c r="E42" t="s">
        <v>2</v>
      </c>
      <c r="F42" t="s">
        <v>3</v>
      </c>
      <c r="G42" t="s">
        <v>13</v>
      </c>
    </row>
    <row r="43" spans="1:7" x14ac:dyDescent="0.2">
      <c r="A43" t="s">
        <v>9</v>
      </c>
      <c r="B43">
        <v>36</v>
      </c>
      <c r="C43">
        <v>80</v>
      </c>
      <c r="D43">
        <v>6799</v>
      </c>
      <c r="E43">
        <v>96</v>
      </c>
      <c r="F43">
        <v>1024</v>
      </c>
    </row>
    <row r="44" spans="1:7" x14ac:dyDescent="0.2">
      <c r="A44" t="s">
        <v>9</v>
      </c>
      <c r="B44">
        <v>36</v>
      </c>
      <c r="C44">
        <v>80</v>
      </c>
      <c r="D44">
        <f>D43+500</f>
        <v>7299</v>
      </c>
      <c r="E44">
        <v>96</v>
      </c>
      <c r="F44">
        <f>1024*2</f>
        <v>2048</v>
      </c>
      <c r="G44">
        <f>(D44-D43)/(F44-F43)*256</f>
        <v>125</v>
      </c>
    </row>
    <row r="45" spans="1:7" x14ac:dyDescent="0.2">
      <c r="A45" t="s">
        <v>9</v>
      </c>
      <c r="B45">
        <v>36</v>
      </c>
      <c r="C45">
        <v>80</v>
      </c>
      <c r="D45">
        <f>D43+1500</f>
        <v>8299</v>
      </c>
      <c r="E45">
        <v>96</v>
      </c>
      <c r="F45">
        <f>1024*4</f>
        <v>4096</v>
      </c>
      <c r="G45">
        <f t="shared" ref="G45:G47" si="4">(D45-D44)/(F45-F44)*256</f>
        <v>125</v>
      </c>
    </row>
    <row r="46" spans="1:7" x14ac:dyDescent="0.2">
      <c r="A46" t="s">
        <v>9</v>
      </c>
      <c r="B46">
        <v>36</v>
      </c>
      <c r="C46">
        <v>80</v>
      </c>
      <c r="D46">
        <f>D43+3500</f>
        <v>10299</v>
      </c>
      <c r="E46">
        <v>96</v>
      </c>
      <c r="F46">
        <f>1024*8</f>
        <v>8192</v>
      </c>
      <c r="G46">
        <f t="shared" si="4"/>
        <v>125</v>
      </c>
    </row>
    <row r="47" spans="1:7" x14ac:dyDescent="0.2">
      <c r="A47" t="s">
        <v>9</v>
      </c>
      <c r="B47">
        <v>36</v>
      </c>
      <c r="C47">
        <v>80</v>
      </c>
      <c r="D47">
        <f>D43+7500</f>
        <v>14299</v>
      </c>
      <c r="E47">
        <v>96</v>
      </c>
      <c r="F47">
        <f>1024*16</f>
        <v>16384</v>
      </c>
      <c r="G47">
        <f t="shared" si="4"/>
        <v>125</v>
      </c>
    </row>
  </sheetData>
  <autoFilter ref="G1:G40" xr:uid="{CF28021D-4311-6C4E-9558-972B2A54133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60B7-CB6E-B848-B8EC-90FA9EBCAF8C}">
  <dimension ref="A1:Q101"/>
  <sheetViews>
    <sheetView tabSelected="1" topLeftCell="C1" zoomScale="110" zoomScaleNormal="110" workbookViewId="0">
      <selection activeCell="J62" sqref="J62"/>
    </sheetView>
  </sheetViews>
  <sheetFormatPr baseColWidth="10" defaultRowHeight="16" x14ac:dyDescent="0.2"/>
  <cols>
    <col min="2" max="2" width="12.6640625" bestFit="1" customWidth="1"/>
    <col min="3" max="7" width="15.1640625" bestFit="1" customWidth="1"/>
    <col min="8" max="8" width="18.83203125" bestFit="1" customWidth="1"/>
    <col min="9" max="9" width="22.5" customWidth="1"/>
    <col min="10" max="10" width="21.33203125" customWidth="1"/>
    <col min="11" max="14" width="15.33203125" bestFit="1" customWidth="1"/>
    <col min="15" max="17" width="12.6640625" bestFit="1" customWidth="1"/>
  </cols>
  <sheetData>
    <row r="1" spans="1:9" x14ac:dyDescent="0.2">
      <c r="A1" t="s">
        <v>0</v>
      </c>
      <c r="B1" t="s">
        <v>6</v>
      </c>
      <c r="C1" t="s">
        <v>7</v>
      </c>
      <c r="D1" t="s">
        <v>4</v>
      </c>
      <c r="E1" t="s">
        <v>2</v>
      </c>
      <c r="F1" t="s">
        <v>3</v>
      </c>
    </row>
    <row r="2" spans="1:9" x14ac:dyDescent="0.2">
      <c r="A2" t="s">
        <v>1</v>
      </c>
      <c r="B2">
        <v>12</v>
      </c>
      <c r="C2">
        <v>12</v>
      </c>
      <c r="D2">
        <v>899</v>
      </c>
      <c r="E2">
        <v>16</v>
      </c>
      <c r="F2">
        <v>256</v>
      </c>
    </row>
    <row r="3" spans="1:9" x14ac:dyDescent="0.2">
      <c r="A3" t="s">
        <v>5</v>
      </c>
      <c r="B3">
        <v>15</v>
      </c>
      <c r="C3">
        <v>16</v>
      </c>
      <c r="D3">
        <v>1699</v>
      </c>
      <c r="E3">
        <v>24</v>
      </c>
      <c r="F3">
        <v>512</v>
      </c>
    </row>
    <row r="4" spans="1:9" x14ac:dyDescent="0.2">
      <c r="A4" t="s">
        <v>5</v>
      </c>
      <c r="B4">
        <v>18</v>
      </c>
      <c r="C4">
        <v>20</v>
      </c>
      <c r="D4">
        <v>1899</v>
      </c>
      <c r="E4">
        <v>24</v>
      </c>
      <c r="F4">
        <v>512</v>
      </c>
    </row>
    <row r="5" spans="1:9" x14ac:dyDescent="0.2">
      <c r="A5" t="s">
        <v>8</v>
      </c>
      <c r="B5">
        <v>18</v>
      </c>
      <c r="C5">
        <v>32</v>
      </c>
      <c r="D5">
        <v>2499</v>
      </c>
      <c r="E5">
        <v>36</v>
      </c>
      <c r="F5">
        <v>512</v>
      </c>
    </row>
    <row r="6" spans="1:9" x14ac:dyDescent="0.2">
      <c r="A6" t="s">
        <v>8</v>
      </c>
      <c r="B6">
        <v>18</v>
      </c>
      <c r="C6">
        <v>40</v>
      </c>
      <c r="D6">
        <v>3099</v>
      </c>
      <c r="E6">
        <v>48</v>
      </c>
      <c r="F6">
        <v>512</v>
      </c>
    </row>
    <row r="7" spans="1:9" x14ac:dyDescent="0.2">
      <c r="A7" t="s">
        <v>9</v>
      </c>
      <c r="B7">
        <v>30</v>
      </c>
      <c r="C7">
        <v>64</v>
      </c>
      <c r="D7">
        <v>5499</v>
      </c>
      <c r="E7">
        <v>96</v>
      </c>
      <c r="F7">
        <v>1024</v>
      </c>
    </row>
    <row r="8" spans="1:9" x14ac:dyDescent="0.2">
      <c r="A8" t="s">
        <v>9</v>
      </c>
      <c r="B8">
        <v>36</v>
      </c>
      <c r="C8">
        <v>80</v>
      </c>
      <c r="D8">
        <v>6799</v>
      </c>
      <c r="E8">
        <v>96</v>
      </c>
      <c r="F8">
        <v>1024</v>
      </c>
    </row>
    <row r="10" spans="1:9" x14ac:dyDescent="0.2">
      <c r="A10" t="s">
        <v>10</v>
      </c>
    </row>
    <row r="11" spans="1:9" x14ac:dyDescent="0.2">
      <c r="A11" t="s">
        <v>0</v>
      </c>
      <c r="B11" t="s">
        <v>6</v>
      </c>
      <c r="C11" t="s">
        <v>7</v>
      </c>
      <c r="D11" t="s">
        <v>4</v>
      </c>
      <c r="E11" t="s">
        <v>2</v>
      </c>
      <c r="F11" t="s">
        <v>3</v>
      </c>
      <c r="G11" t="s">
        <v>11</v>
      </c>
      <c r="H11" t="s">
        <v>14</v>
      </c>
      <c r="I11" t="s">
        <v>15</v>
      </c>
    </row>
    <row r="12" spans="1:9" x14ac:dyDescent="0.2">
      <c r="A12" t="s">
        <v>1</v>
      </c>
      <c r="B12">
        <v>12</v>
      </c>
      <c r="C12">
        <v>12</v>
      </c>
      <c r="D12">
        <v>899</v>
      </c>
      <c r="E12">
        <v>16</v>
      </c>
      <c r="F12">
        <v>256</v>
      </c>
      <c r="G12">
        <f>B12+C12</f>
        <v>24</v>
      </c>
    </row>
    <row r="13" spans="1:9" x14ac:dyDescent="0.2">
      <c r="A13" t="s">
        <v>5</v>
      </c>
      <c r="B13">
        <v>15</v>
      </c>
      <c r="C13">
        <v>16</v>
      </c>
      <c r="D13">
        <f>D3-200-200</f>
        <v>1299</v>
      </c>
      <c r="E13">
        <v>16</v>
      </c>
      <c r="F13">
        <v>256</v>
      </c>
      <c r="G13">
        <f t="shared" ref="G13:G18" si="0">B13+C13</f>
        <v>31</v>
      </c>
      <c r="H13">
        <f>(D13-D12)/(G13-G12)</f>
        <v>57.142857142857146</v>
      </c>
      <c r="I13">
        <f t="shared" ref="I13:I18" si="1">(D13-$D$12)/(G13-$G$12)</f>
        <v>57.142857142857146</v>
      </c>
    </row>
    <row r="14" spans="1:9" x14ac:dyDescent="0.2">
      <c r="A14" t="s">
        <v>5</v>
      </c>
      <c r="B14">
        <v>18</v>
      </c>
      <c r="C14">
        <v>20</v>
      </c>
      <c r="D14">
        <f>D4-200-200</f>
        <v>1499</v>
      </c>
      <c r="E14">
        <v>16</v>
      </c>
      <c r="F14">
        <v>256</v>
      </c>
      <c r="G14">
        <f t="shared" si="0"/>
        <v>38</v>
      </c>
      <c r="H14">
        <f t="shared" ref="H14:H17" si="2">(D14-D13)/(G14-G13)</f>
        <v>28.571428571428573</v>
      </c>
      <c r="I14">
        <f t="shared" si="1"/>
        <v>42.857142857142854</v>
      </c>
    </row>
    <row r="15" spans="1:9" x14ac:dyDescent="0.2">
      <c r="A15" t="s">
        <v>8</v>
      </c>
      <c r="B15">
        <v>18</v>
      </c>
      <c r="C15">
        <v>32</v>
      </c>
      <c r="D15">
        <f>D5-(36-16)/8*200-200</f>
        <v>1799</v>
      </c>
      <c r="E15">
        <v>16</v>
      </c>
      <c r="F15">
        <v>256</v>
      </c>
      <c r="G15">
        <f t="shared" si="0"/>
        <v>50</v>
      </c>
      <c r="H15">
        <f t="shared" si="2"/>
        <v>25</v>
      </c>
      <c r="I15">
        <f t="shared" si="1"/>
        <v>34.615384615384613</v>
      </c>
    </row>
    <row r="16" spans="1:9" x14ac:dyDescent="0.2">
      <c r="A16" t="s">
        <v>8</v>
      </c>
      <c r="B16">
        <v>18</v>
      </c>
      <c r="C16">
        <v>40</v>
      </c>
      <c r="D16">
        <f>D6-(48-16)/8*200-200</f>
        <v>2099</v>
      </c>
      <c r="E16">
        <v>16</v>
      </c>
      <c r="F16">
        <v>256</v>
      </c>
      <c r="G16">
        <f t="shared" si="0"/>
        <v>58</v>
      </c>
      <c r="H16">
        <f t="shared" si="2"/>
        <v>37.5</v>
      </c>
      <c r="I16">
        <f t="shared" si="1"/>
        <v>35.294117647058826</v>
      </c>
    </row>
    <row r="17" spans="1:9" x14ac:dyDescent="0.2">
      <c r="A17" t="s">
        <v>9</v>
      </c>
      <c r="B17">
        <v>30</v>
      </c>
      <c r="C17">
        <v>64</v>
      </c>
      <c r="D17">
        <f>D7-(96-16)/8*200-200-150</f>
        <v>3149</v>
      </c>
      <c r="E17">
        <v>16</v>
      </c>
      <c r="F17">
        <v>256</v>
      </c>
      <c r="G17">
        <f t="shared" si="0"/>
        <v>94</v>
      </c>
      <c r="H17">
        <f t="shared" si="2"/>
        <v>29.166666666666668</v>
      </c>
      <c r="I17">
        <f t="shared" si="1"/>
        <v>32.142857142857146</v>
      </c>
    </row>
    <row r="18" spans="1:9" x14ac:dyDescent="0.2">
      <c r="A18" t="s">
        <v>9</v>
      </c>
      <c r="B18">
        <v>36</v>
      </c>
      <c r="C18">
        <v>80</v>
      </c>
      <c r="D18">
        <f>D8-(96-16)/8*200-200-150</f>
        <v>4449</v>
      </c>
      <c r="E18">
        <v>16</v>
      </c>
      <c r="F18">
        <v>256</v>
      </c>
      <c r="G18">
        <f t="shared" si="0"/>
        <v>116</v>
      </c>
      <c r="H18">
        <f>(D18-D17)/(G18-G17)</f>
        <v>59.090909090909093</v>
      </c>
      <c r="I18">
        <f t="shared" si="1"/>
        <v>38.586956521739133</v>
      </c>
    </row>
    <row r="39" spans="1:17" x14ac:dyDescent="0.2">
      <c r="A39" t="s">
        <v>10</v>
      </c>
    </row>
    <row r="40" spans="1:17" x14ac:dyDescent="0.2">
      <c r="A40" t="s">
        <v>0</v>
      </c>
      <c r="B40" t="s">
        <v>6</v>
      </c>
      <c r="C40" t="s">
        <v>7</v>
      </c>
      <c r="D40" t="s">
        <v>4</v>
      </c>
      <c r="E40" t="s">
        <v>2</v>
      </c>
      <c r="F40" t="s">
        <v>3</v>
      </c>
      <c r="G40" t="s">
        <v>11</v>
      </c>
      <c r="H40" t="s">
        <v>18</v>
      </c>
      <c r="I40" t="s">
        <v>16</v>
      </c>
      <c r="J40" t="s">
        <v>17</v>
      </c>
      <c r="K40" t="s">
        <v>19</v>
      </c>
      <c r="L40" t="s">
        <v>20</v>
      </c>
      <c r="M40" t="s">
        <v>21</v>
      </c>
      <c r="N40" t="s">
        <v>22</v>
      </c>
      <c r="O40" t="s">
        <v>23</v>
      </c>
      <c r="P40" t="s">
        <v>24</v>
      </c>
      <c r="Q40" t="s">
        <v>25</v>
      </c>
    </row>
    <row r="41" spans="1:17" x14ac:dyDescent="0.2">
      <c r="A41" t="s">
        <v>1</v>
      </c>
      <c r="B41">
        <v>12</v>
      </c>
      <c r="C41">
        <v>12</v>
      </c>
      <c r="D41">
        <v>899</v>
      </c>
      <c r="E41">
        <v>16</v>
      </c>
      <c r="F41">
        <v>256</v>
      </c>
      <c r="G41">
        <f>B41+C41</f>
        <v>24</v>
      </c>
      <c r="H41">
        <v>4.9800000000000004</v>
      </c>
      <c r="I41">
        <v>4501</v>
      </c>
      <c r="J41">
        <v>21312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 x14ac:dyDescent="0.2">
      <c r="A42" t="s">
        <v>5</v>
      </c>
      <c r="B42">
        <v>15</v>
      </c>
      <c r="C42">
        <v>16</v>
      </c>
      <c r="D42">
        <v>1299</v>
      </c>
      <c r="E42">
        <v>16</v>
      </c>
      <c r="F42">
        <v>256</v>
      </c>
      <c r="G42">
        <f t="shared" ref="G42:G47" si="3">B42+C42</f>
        <v>31</v>
      </c>
      <c r="H42">
        <v>6.64</v>
      </c>
      <c r="I42">
        <v>4254</v>
      </c>
      <c r="J42">
        <v>25906</v>
      </c>
      <c r="K42">
        <f>(H42/$H$41+I42/$I$41+J42/$J$41)/3</f>
        <v>1.1646719828582193</v>
      </c>
      <c r="L42">
        <f>((H42/$H$41)*0.5+(I42/$I$41)*0.25+(J42/$J$41)*0.25)</f>
        <v>1.2068373204769978</v>
      </c>
      <c r="M42">
        <f>((H42/$H$41)*0.6+(I42/$I$41)*0.25+(J42/$J$41)*0.15)</f>
        <v>1.2186147228794</v>
      </c>
      <c r="N42">
        <f>((H42/$H$41)*0.3+(I42/$I$41)*0.35+(J42/$J$41)*0.35)</f>
        <v>1.1562389153344634</v>
      </c>
      <c r="O42">
        <f>((H42/$H$41)*0.4+(I42/$I$41)*0.3+(J42/$J$41)*0.3)</f>
        <v>1.1815381179057307</v>
      </c>
      <c r="P42">
        <f>((H42/$H$41)*0.2+(I42/$I$41)*0.4+(J42/$J$41)*0.4)</f>
        <v>1.1309397127631964</v>
      </c>
      <c r="Q42">
        <f>((H42/$H$41)*0.6+(I42/$I$41)*0.2+(J42/$J$41)*0.2)</f>
        <v>1.2321365230482648</v>
      </c>
    </row>
    <row r="43" spans="1:17" x14ac:dyDescent="0.2">
      <c r="A43" t="s">
        <v>5</v>
      </c>
      <c r="B43">
        <v>18</v>
      </c>
      <c r="C43">
        <v>20</v>
      </c>
      <c r="D43">
        <v>1499</v>
      </c>
      <c r="E43">
        <v>16</v>
      </c>
      <c r="F43">
        <v>256</v>
      </c>
      <c r="G43">
        <f t="shared" si="3"/>
        <v>38</v>
      </c>
      <c r="H43">
        <v>8.2899999999999991</v>
      </c>
      <c r="I43">
        <v>4312</v>
      </c>
      <c r="J43">
        <v>28467</v>
      </c>
      <c r="K43">
        <f t="shared" ref="K43:K47" si="4">(H43/$H$41+I43/$I$41+J43/$J$41)/3</f>
        <v>1.3194647723830746</v>
      </c>
      <c r="L43">
        <f t="shared" ref="L43:L47" si="5">((H43/$H$41)*0.5+(I43/$I$41)*0.25+(J43/$J$41)*0.25)</f>
        <v>1.4057632379218439</v>
      </c>
      <c r="M43">
        <f t="shared" ref="M43:M47" si="6">((H43/$H$41)*0.6+(I43/$I$41)*0.25+(J43/$J$41)*0.15)</f>
        <v>1.4386564662405241</v>
      </c>
      <c r="N43">
        <f t="shared" ref="N43:N47" si="7">((H43/$H$41)*0.3+(I43/$I$41)*0.35+(J43/$J$41)*0.35)</f>
        <v>1.3022050792753206</v>
      </c>
      <c r="O43">
        <f t="shared" ref="O43:O47" si="8">((H43/$H$41)*0.4+(I43/$I$41)*0.3+(J43/$J$41)*0.3)</f>
        <v>1.3539841585985823</v>
      </c>
      <c r="P43">
        <f t="shared" ref="P43:P47" si="9">((H43/$H$41)*0.2+(I43/$I$41)*0.4+(J43/$J$41)*0.4)</f>
        <v>1.2504259999520593</v>
      </c>
      <c r="Q43">
        <f t="shared" ref="Q43:Q47" si="10">((H43/$H$41)*0.6+(I43/$I$41)*0.2+(J43/$J$41)*0.2)</f>
        <v>1.4575423172451056</v>
      </c>
    </row>
    <row r="44" spans="1:17" x14ac:dyDescent="0.2">
      <c r="A44" t="s">
        <v>8</v>
      </c>
      <c r="B44">
        <v>18</v>
      </c>
      <c r="C44">
        <v>32</v>
      </c>
      <c r="D44">
        <v>1799</v>
      </c>
      <c r="E44">
        <v>16</v>
      </c>
      <c r="F44">
        <v>256</v>
      </c>
      <c r="G44">
        <f t="shared" si="3"/>
        <v>50</v>
      </c>
      <c r="H44">
        <v>13.27</v>
      </c>
      <c r="I44">
        <v>4283</v>
      </c>
      <c r="J44">
        <v>29068</v>
      </c>
      <c r="K44">
        <f t="shared" si="4"/>
        <v>1.6600504598534822</v>
      </c>
      <c r="L44">
        <f t="shared" si="5"/>
        <v>1.9112025035246498</v>
      </c>
      <c r="M44">
        <f t="shared" si="6"/>
        <v>2.0412757243358222</v>
      </c>
      <c r="N44">
        <f t="shared" si="7"/>
        <v>1.6098200511192486</v>
      </c>
      <c r="O44">
        <f t="shared" si="8"/>
        <v>1.7605112773219491</v>
      </c>
      <c r="P44">
        <f t="shared" si="9"/>
        <v>1.4591288249165482</v>
      </c>
      <c r="Q44">
        <f t="shared" si="10"/>
        <v>2.0618937297273505</v>
      </c>
    </row>
    <row r="45" spans="1:17" x14ac:dyDescent="0.2">
      <c r="A45" t="s">
        <v>8</v>
      </c>
      <c r="B45">
        <v>18</v>
      </c>
      <c r="C45">
        <v>40</v>
      </c>
      <c r="D45">
        <v>2099</v>
      </c>
      <c r="E45">
        <v>16</v>
      </c>
      <c r="F45">
        <v>256</v>
      </c>
      <c r="G45">
        <f t="shared" si="3"/>
        <v>58</v>
      </c>
      <c r="H45">
        <v>16.59</v>
      </c>
      <c r="I45">
        <v>4355</v>
      </c>
      <c r="J45">
        <v>30217</v>
      </c>
      <c r="K45">
        <f t="shared" si="4"/>
        <v>1.9055759265832648</v>
      </c>
      <c r="L45">
        <f t="shared" si="5"/>
        <v>2.2620132702386533</v>
      </c>
      <c r="M45">
        <f t="shared" si="6"/>
        <v>2.4533618288876635</v>
      </c>
      <c r="N45">
        <f t="shared" si="7"/>
        <v>1.8342884578521867</v>
      </c>
      <c r="O45">
        <f t="shared" si="8"/>
        <v>2.0481508640454202</v>
      </c>
      <c r="P45">
        <f t="shared" si="9"/>
        <v>1.6204260516589537</v>
      </c>
      <c r="Q45">
        <f t="shared" si="10"/>
        <v>2.4758756764318863</v>
      </c>
    </row>
    <row r="46" spans="1:17" x14ac:dyDescent="0.2">
      <c r="A46" t="s">
        <v>9</v>
      </c>
      <c r="B46">
        <v>30</v>
      </c>
      <c r="C46">
        <v>64</v>
      </c>
      <c r="D46">
        <v>3149</v>
      </c>
      <c r="E46">
        <v>16</v>
      </c>
      <c r="F46">
        <v>256</v>
      </c>
      <c r="G46">
        <f t="shared" si="3"/>
        <v>94</v>
      </c>
      <c r="H46">
        <v>26.54</v>
      </c>
      <c r="I46">
        <v>4688</v>
      </c>
      <c r="J46">
        <v>39193</v>
      </c>
      <c r="K46">
        <f t="shared" si="4"/>
        <v>2.7366248260005048</v>
      </c>
      <c r="L46">
        <f t="shared" si="5"/>
        <v>3.3847979367694552</v>
      </c>
      <c r="M46">
        <f t="shared" si="6"/>
        <v>3.7338285750884972</v>
      </c>
      <c r="N46">
        <f t="shared" si="7"/>
        <v>2.6069902038467152</v>
      </c>
      <c r="O46">
        <f t="shared" si="8"/>
        <v>2.995894070308085</v>
      </c>
      <c r="P46">
        <f t="shared" si="9"/>
        <v>2.218086337385345</v>
      </c>
      <c r="Q46">
        <f t="shared" si="10"/>
        <v>3.7737018032308249</v>
      </c>
    </row>
    <row r="47" spans="1:17" x14ac:dyDescent="0.2">
      <c r="A47" t="s">
        <v>9</v>
      </c>
      <c r="B47">
        <v>36</v>
      </c>
      <c r="C47">
        <v>80</v>
      </c>
      <c r="D47">
        <v>4449</v>
      </c>
      <c r="E47">
        <v>16</v>
      </c>
      <c r="F47">
        <v>256</v>
      </c>
      <c r="G47">
        <f t="shared" si="3"/>
        <v>116</v>
      </c>
      <c r="H47">
        <v>33.18</v>
      </c>
      <c r="I47">
        <v>4710</v>
      </c>
      <c r="J47">
        <v>42327</v>
      </c>
      <c r="K47">
        <f t="shared" si="4"/>
        <v>3.231716305782887</v>
      </c>
      <c r="L47">
        <f t="shared" si="5"/>
        <v>4.0894498799395747</v>
      </c>
      <c r="M47">
        <f t="shared" si="6"/>
        <v>4.5571085212616191</v>
      </c>
      <c r="N47">
        <f t="shared" si="7"/>
        <v>3.0601695909515492</v>
      </c>
      <c r="O47">
        <f t="shared" si="8"/>
        <v>3.5748097354455624</v>
      </c>
      <c r="P47">
        <f t="shared" si="9"/>
        <v>2.5455294464575369</v>
      </c>
      <c r="Q47">
        <f t="shared" si="10"/>
        <v>4.6040900244335869</v>
      </c>
    </row>
    <row r="49" spans="1:14" x14ac:dyDescent="0.2">
      <c r="A49" t="s">
        <v>0</v>
      </c>
      <c r="B49" t="s">
        <v>6</v>
      </c>
      <c r="C49" t="s">
        <v>7</v>
      </c>
      <c r="D49" t="s">
        <v>4</v>
      </c>
      <c r="E49" t="s">
        <v>2</v>
      </c>
      <c r="F49" t="s">
        <v>3</v>
      </c>
      <c r="G49" t="s">
        <v>11</v>
      </c>
      <c r="H49" t="s">
        <v>26</v>
      </c>
      <c r="I49" t="s">
        <v>27</v>
      </c>
      <c r="J49" t="s">
        <v>28</v>
      </c>
      <c r="K49" t="s">
        <v>29</v>
      </c>
      <c r="L49" t="s">
        <v>30</v>
      </c>
      <c r="M49" t="s">
        <v>31</v>
      </c>
      <c r="N49" t="s">
        <v>32</v>
      </c>
    </row>
    <row r="50" spans="1:14" x14ac:dyDescent="0.2">
      <c r="A50" t="s">
        <v>1</v>
      </c>
      <c r="B50">
        <v>12</v>
      </c>
      <c r="C50">
        <v>12</v>
      </c>
      <c r="D50">
        <v>899</v>
      </c>
      <c r="E50">
        <v>16</v>
      </c>
      <c r="F50">
        <v>256</v>
      </c>
      <c r="G50">
        <f>B50+C50</f>
        <v>24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</row>
    <row r="51" spans="1:14" x14ac:dyDescent="0.2">
      <c r="A51" t="s">
        <v>5</v>
      </c>
      <c r="B51">
        <v>15</v>
      </c>
      <c r="C51">
        <v>16</v>
      </c>
      <c r="D51">
        <v>1299</v>
      </c>
      <c r="E51">
        <v>16</v>
      </c>
      <c r="F51">
        <v>256</v>
      </c>
      <c r="G51">
        <f t="shared" ref="G51:G56" si="11">B51+C51</f>
        <v>31</v>
      </c>
      <c r="H51">
        <f>K42/(D42/$D$41)</f>
        <v>0.80603549852928336</v>
      </c>
      <c r="I51">
        <f>L42/(D42/$D$41)</f>
        <v>0.83521689846714475</v>
      </c>
      <c r="J51">
        <f>M42/(D42/$D$41)</f>
        <v>0.84336769504894582</v>
      </c>
      <c r="K51">
        <f>N42/(D42/$D$41)</f>
        <v>0.80019921854171105</v>
      </c>
      <c r="L51">
        <f>O42/(D42/$D$41)</f>
        <v>0.81770805850442796</v>
      </c>
      <c r="M51">
        <f>P42/(D42/$D$41)</f>
        <v>0.78269037857899426</v>
      </c>
      <c r="N51">
        <f>Q42/(D42/$D$41)</f>
        <v>0.85272573842986155</v>
      </c>
    </row>
    <row r="52" spans="1:14" x14ac:dyDescent="0.2">
      <c r="A52" t="s">
        <v>5</v>
      </c>
      <c r="B52">
        <v>18</v>
      </c>
      <c r="C52">
        <v>20</v>
      </c>
      <c r="D52">
        <v>1499</v>
      </c>
      <c r="E52">
        <v>16</v>
      </c>
      <c r="F52">
        <v>256</v>
      </c>
      <c r="G52">
        <f t="shared" si="11"/>
        <v>38</v>
      </c>
      <c r="H52">
        <f t="shared" ref="H52:H56" si="12">K43/(D43/$D$41)</f>
        <v>0.79132677142920882</v>
      </c>
      <c r="I52">
        <f t="shared" ref="I52:I56" si="13">L43/(D43/$D$41)</f>
        <v>0.84308282247614252</v>
      </c>
      <c r="J52">
        <f t="shared" ref="J52:J56" si="14">M43/(D43/$D$41)</f>
        <v>0.86280998208821291</v>
      </c>
      <c r="K52">
        <f t="shared" ref="K52:K56" si="15">N43/(D43/$D$41)</f>
        <v>0.78097556121982203</v>
      </c>
      <c r="L52">
        <f t="shared" ref="L52:L56" si="16">O43/(D43/$D$41)</f>
        <v>0.81202919184798239</v>
      </c>
      <c r="M52">
        <f t="shared" ref="M52:M56" si="17">P43/(D43/$D$41)</f>
        <v>0.74992193059166201</v>
      </c>
      <c r="N52">
        <f t="shared" ref="N52:N56" si="18">Q43/(D43/$D$41)</f>
        <v>0.87413645310430288</v>
      </c>
    </row>
    <row r="53" spans="1:14" x14ac:dyDescent="0.2">
      <c r="A53" t="s">
        <v>8</v>
      </c>
      <c r="B53">
        <v>18</v>
      </c>
      <c r="C53">
        <v>32</v>
      </c>
      <c r="D53">
        <v>1799</v>
      </c>
      <c r="E53">
        <v>16</v>
      </c>
      <c r="F53">
        <v>256</v>
      </c>
      <c r="G53">
        <f t="shared" si="11"/>
        <v>50</v>
      </c>
      <c r="H53">
        <f t="shared" si="12"/>
        <v>0.82956384847597586</v>
      </c>
      <c r="I53">
        <f t="shared" si="13"/>
        <v>0.95507006707540865</v>
      </c>
      <c r="J53">
        <f t="shared" si="14"/>
        <v>1.0200705259465837</v>
      </c>
      <c r="K53">
        <f t="shared" si="15"/>
        <v>0.80446260475608922</v>
      </c>
      <c r="L53">
        <f t="shared" si="16"/>
        <v>0.87976633591574893</v>
      </c>
      <c r="M53">
        <f t="shared" si="17"/>
        <v>0.72915887359642961</v>
      </c>
      <c r="N53">
        <f t="shared" si="18"/>
        <v>1.0303737982350685</v>
      </c>
    </row>
    <row r="54" spans="1:14" x14ac:dyDescent="0.2">
      <c r="A54" t="s">
        <v>8</v>
      </c>
      <c r="B54">
        <v>18</v>
      </c>
      <c r="C54">
        <v>40</v>
      </c>
      <c r="D54">
        <v>2099</v>
      </c>
      <c r="E54">
        <v>16</v>
      </c>
      <c r="F54">
        <v>256</v>
      </c>
      <c r="G54">
        <f t="shared" si="11"/>
        <v>58</v>
      </c>
      <c r="H54">
        <f t="shared" si="12"/>
        <v>0.81615662601160321</v>
      </c>
      <c r="I54">
        <f t="shared" si="13"/>
        <v>0.96881845161722224</v>
      </c>
      <c r="J54">
        <f t="shared" si="14"/>
        <v>1.0507728843115816</v>
      </c>
      <c r="K54">
        <f t="shared" si="15"/>
        <v>0.78562426089047921</v>
      </c>
      <c r="L54">
        <f t="shared" si="16"/>
        <v>0.87722135625385078</v>
      </c>
      <c r="M54">
        <f t="shared" si="17"/>
        <v>0.69402716552710786</v>
      </c>
      <c r="N54">
        <f t="shared" si="18"/>
        <v>1.0604155469805936</v>
      </c>
    </row>
    <row r="55" spans="1:14" x14ac:dyDescent="0.2">
      <c r="A55" t="s">
        <v>9</v>
      </c>
      <c r="B55">
        <v>30</v>
      </c>
      <c r="C55">
        <v>64</v>
      </c>
      <c r="D55">
        <v>3149</v>
      </c>
      <c r="E55">
        <v>16</v>
      </c>
      <c r="F55">
        <v>256</v>
      </c>
      <c r="G55">
        <f t="shared" si="11"/>
        <v>94</v>
      </c>
      <c r="H55">
        <f t="shared" si="12"/>
        <v>0.78127206051903908</v>
      </c>
      <c r="I55">
        <f t="shared" si="13"/>
        <v>0.96631735317743417</v>
      </c>
      <c r="J55">
        <f t="shared" si="14"/>
        <v>1.0659612222942392</v>
      </c>
      <c r="K55">
        <f t="shared" si="15"/>
        <v>0.74426300198736017</v>
      </c>
      <c r="L55">
        <f t="shared" si="16"/>
        <v>0.85529017758239712</v>
      </c>
      <c r="M55">
        <f t="shared" si="17"/>
        <v>0.63323582639232301</v>
      </c>
      <c r="N55">
        <f t="shared" si="18"/>
        <v>1.0773445287724712</v>
      </c>
    </row>
    <row r="56" spans="1:14" x14ac:dyDescent="0.2">
      <c r="A56" t="s">
        <v>9</v>
      </c>
      <c r="B56">
        <v>36</v>
      </c>
      <c r="C56">
        <v>80</v>
      </c>
      <c r="D56">
        <v>4449</v>
      </c>
      <c r="E56">
        <v>16</v>
      </c>
      <c r="F56">
        <v>256</v>
      </c>
      <c r="G56">
        <f t="shared" si="11"/>
        <v>116</v>
      </c>
      <c r="H56">
        <f t="shared" si="12"/>
        <v>0.65302606403659591</v>
      </c>
      <c r="I56">
        <f t="shared" si="13"/>
        <v>0.82634646933371037</v>
      </c>
      <c r="J56">
        <f t="shared" si="14"/>
        <v>0.9208452597469533</v>
      </c>
      <c r="K56">
        <f t="shared" si="15"/>
        <v>0.61836198297717293</v>
      </c>
      <c r="L56">
        <f t="shared" si="16"/>
        <v>0.72235422615544176</v>
      </c>
      <c r="M56">
        <f t="shared" si="17"/>
        <v>0.51436973979890432</v>
      </c>
      <c r="N56">
        <f t="shared" si="18"/>
        <v>0.93033871251197897</v>
      </c>
    </row>
    <row r="58" spans="1:14" x14ac:dyDescent="0.2">
      <c r="A58" t="s">
        <v>0</v>
      </c>
      <c r="B58" t="s">
        <v>26</v>
      </c>
      <c r="C58" t="s">
        <v>27</v>
      </c>
      <c r="D58" t="s">
        <v>28</v>
      </c>
      <c r="E58" t="s">
        <v>29</v>
      </c>
      <c r="F58" t="s">
        <v>30</v>
      </c>
      <c r="G58" t="s">
        <v>31</v>
      </c>
      <c r="H58" t="s">
        <v>32</v>
      </c>
    </row>
    <row r="59" spans="1:14" x14ac:dyDescent="0.2">
      <c r="A59" t="s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</row>
    <row r="60" spans="1:14" x14ac:dyDescent="0.2">
      <c r="A60" t="s">
        <v>33</v>
      </c>
      <c r="B60">
        <v>0.80603549852928336</v>
      </c>
      <c r="C60">
        <v>0.83521689846714475</v>
      </c>
      <c r="D60">
        <v>0.84336769504894582</v>
      </c>
      <c r="E60">
        <v>0.80019921854171105</v>
      </c>
      <c r="F60">
        <v>0.81770805850442796</v>
      </c>
      <c r="G60">
        <v>0.78269037857899426</v>
      </c>
      <c r="H60">
        <v>0.85272573842986155</v>
      </c>
    </row>
    <row r="61" spans="1:14" x14ac:dyDescent="0.2">
      <c r="A61" t="s">
        <v>5</v>
      </c>
      <c r="B61">
        <v>0.79132677142920882</v>
      </c>
      <c r="C61">
        <v>0.84308282247614252</v>
      </c>
      <c r="D61">
        <v>0.86280998208821291</v>
      </c>
      <c r="E61">
        <v>0.78097556121982203</v>
      </c>
      <c r="F61">
        <v>0.81202919184798239</v>
      </c>
      <c r="G61">
        <v>0.74992193059166201</v>
      </c>
      <c r="H61">
        <v>0.87413645310430288</v>
      </c>
    </row>
    <row r="62" spans="1:14" x14ac:dyDescent="0.2">
      <c r="A62" t="s">
        <v>34</v>
      </c>
      <c r="B62">
        <v>0.82956384847597586</v>
      </c>
      <c r="C62">
        <v>0.95507006707540865</v>
      </c>
      <c r="D62">
        <v>1.0200705259465837</v>
      </c>
      <c r="E62">
        <v>0.80446260475608922</v>
      </c>
      <c r="F62">
        <v>0.87976633591574893</v>
      </c>
      <c r="G62">
        <v>0.72915887359642961</v>
      </c>
      <c r="H62">
        <v>1.0303737982350685</v>
      </c>
    </row>
    <row r="63" spans="1:14" x14ac:dyDescent="0.2">
      <c r="A63" t="s">
        <v>8</v>
      </c>
      <c r="B63">
        <v>0.81615662601160321</v>
      </c>
      <c r="C63">
        <v>0.96881845161722224</v>
      </c>
      <c r="D63">
        <v>1.0507728843115816</v>
      </c>
      <c r="E63">
        <v>0.78562426089047921</v>
      </c>
      <c r="F63">
        <v>0.87722135625385078</v>
      </c>
      <c r="G63">
        <v>0.69402716552710786</v>
      </c>
      <c r="H63">
        <v>1.0604155469805936</v>
      </c>
    </row>
    <row r="64" spans="1:14" x14ac:dyDescent="0.2">
      <c r="A64" t="s">
        <v>35</v>
      </c>
      <c r="B64">
        <v>0.78127206051903908</v>
      </c>
      <c r="C64">
        <v>0.96631735317743417</v>
      </c>
      <c r="D64">
        <v>1.0659612222942392</v>
      </c>
      <c r="E64">
        <v>0.74426300198736017</v>
      </c>
      <c r="F64">
        <v>0.85529017758239712</v>
      </c>
      <c r="G64">
        <v>0.63323582639232301</v>
      </c>
      <c r="H64">
        <v>1.0773445287724712</v>
      </c>
    </row>
    <row r="65" spans="1:8" x14ac:dyDescent="0.2">
      <c r="A65" t="s">
        <v>9</v>
      </c>
      <c r="B65">
        <v>0.65302606403659591</v>
      </c>
      <c r="C65">
        <v>0.82634646933371037</v>
      </c>
      <c r="D65">
        <v>0.9208452597469533</v>
      </c>
      <c r="E65">
        <v>0.61836198297717293</v>
      </c>
      <c r="F65">
        <v>0.72235422615544176</v>
      </c>
      <c r="G65">
        <v>0.51436973979890432</v>
      </c>
      <c r="H65">
        <v>0.93033871251197897</v>
      </c>
    </row>
    <row r="94" spans="1:8" x14ac:dyDescent="0.2">
      <c r="A94" t="s">
        <v>0</v>
      </c>
      <c r="B94" t="s">
        <v>19</v>
      </c>
      <c r="C94" t="s">
        <v>20</v>
      </c>
      <c r="D94" t="s">
        <v>21</v>
      </c>
      <c r="E94" t="s">
        <v>22</v>
      </c>
      <c r="F94" t="s">
        <v>23</v>
      </c>
      <c r="G94" t="s">
        <v>24</v>
      </c>
      <c r="H94" t="s">
        <v>25</v>
      </c>
    </row>
    <row r="95" spans="1:8" x14ac:dyDescent="0.2">
      <c r="A95" t="s">
        <v>1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</row>
    <row r="96" spans="1:8" x14ac:dyDescent="0.2">
      <c r="A96" t="s">
        <v>33</v>
      </c>
      <c r="B96">
        <v>1.1646719828582193</v>
      </c>
      <c r="C96">
        <v>1.2068373204769978</v>
      </c>
      <c r="D96">
        <v>1.2186147228794</v>
      </c>
      <c r="E96">
        <v>1.1562389153344634</v>
      </c>
      <c r="F96">
        <v>1.1815381179057307</v>
      </c>
      <c r="G96">
        <v>1.1309397127631964</v>
      </c>
      <c r="H96">
        <v>1.2321365230482648</v>
      </c>
    </row>
    <row r="97" spans="1:8" x14ac:dyDescent="0.2">
      <c r="A97" t="s">
        <v>5</v>
      </c>
      <c r="B97">
        <v>1.3194647723830746</v>
      </c>
      <c r="C97">
        <v>1.4057632379218439</v>
      </c>
      <c r="D97">
        <v>1.4386564662405241</v>
      </c>
      <c r="E97">
        <v>1.3022050792753206</v>
      </c>
      <c r="F97">
        <v>1.3539841585985823</v>
      </c>
      <c r="G97">
        <v>1.2504259999520593</v>
      </c>
      <c r="H97">
        <v>1.4575423172451056</v>
      </c>
    </row>
    <row r="98" spans="1:8" x14ac:dyDescent="0.2">
      <c r="A98" t="s">
        <v>34</v>
      </c>
      <c r="B98">
        <v>1.6600504598534822</v>
      </c>
      <c r="C98">
        <v>1.9112025035246498</v>
      </c>
      <c r="D98">
        <v>2.0412757243358222</v>
      </c>
      <c r="E98">
        <v>1.6098200511192486</v>
      </c>
      <c r="F98">
        <v>1.7605112773219491</v>
      </c>
      <c r="G98">
        <v>1.4591288249165482</v>
      </c>
      <c r="H98">
        <v>2.0618937297273505</v>
      </c>
    </row>
    <row r="99" spans="1:8" x14ac:dyDescent="0.2">
      <c r="A99" t="s">
        <v>8</v>
      </c>
      <c r="B99">
        <v>1.9055759265832648</v>
      </c>
      <c r="C99">
        <v>2.2620132702386533</v>
      </c>
      <c r="D99">
        <v>2.4533618288876635</v>
      </c>
      <c r="E99">
        <v>1.8342884578521867</v>
      </c>
      <c r="F99">
        <v>2.0481508640454202</v>
      </c>
      <c r="G99">
        <v>1.6204260516589537</v>
      </c>
      <c r="H99">
        <v>2.4758756764318863</v>
      </c>
    </row>
    <row r="100" spans="1:8" x14ac:dyDescent="0.2">
      <c r="A100" t="s">
        <v>35</v>
      </c>
      <c r="B100">
        <v>2.7366248260005048</v>
      </c>
      <c r="C100">
        <v>3.3847979367694552</v>
      </c>
      <c r="D100">
        <v>3.7338285750884972</v>
      </c>
      <c r="E100">
        <v>2.6069902038467152</v>
      </c>
      <c r="F100">
        <v>2.995894070308085</v>
      </c>
      <c r="G100">
        <v>2.218086337385345</v>
      </c>
      <c r="H100">
        <v>3.7737018032308249</v>
      </c>
    </row>
    <row r="101" spans="1:8" x14ac:dyDescent="0.2">
      <c r="A101" t="s">
        <v>9</v>
      </c>
      <c r="B101">
        <v>3.231716305782887</v>
      </c>
      <c r="C101">
        <v>4.0894498799395747</v>
      </c>
      <c r="D101">
        <v>4.5571085212616191</v>
      </c>
      <c r="E101">
        <v>3.0601695909515492</v>
      </c>
      <c r="F101">
        <v>3.5748097354455624</v>
      </c>
      <c r="G101">
        <v>2.5455294464575369</v>
      </c>
      <c r="H101">
        <v>4.6040900244335869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RAM+SSD</vt:lpstr>
      <vt:lpstr>RAM</vt:lpstr>
      <vt:lpstr>SSD</vt:lpstr>
      <vt:lpstr>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Leroy Tang</dc:creator>
  <cp:lastModifiedBy>Leroy Tang</cp:lastModifiedBy>
  <dcterms:created xsi:type="dcterms:W3CDTF">2026-08-26T20:03:45Z</dcterms:created>
  <dcterms:modified xsi:type="dcterms:W3CDTF">2026-08-28T12:33:45Z</dcterms:modified>
</cp:coreProperties>
</file>